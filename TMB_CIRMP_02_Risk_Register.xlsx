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Risk Register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<sst xmlns="http://schemas.openxmlformats.org/spreadsheetml/2006/main" count="308" uniqueCount="198">
  <si>
    <t xml:space="preserve">Tasman Mutual Bank — CIRMP All-Hazards Risk Register</t>
  </si>
  <si>
    <t xml:space="preserve">Document 2  |  Methodology &amp; scoring  |  Scenario-based portfolio artefact (fictional entity)</t>
  </si>
  <si>
    <t xml:space="preserve">Purpose</t>
  </si>
  <si>
    <t xml:space="preserve">This register identifies and rates material risks to TMB’s payment-systems / core-banking asset across the four CIRMP hazard vectors. Risks are scored before and after controls (inherent vs residual) on a 5×5 matrix, with treatments mapped to a 30/90/180-day remediation horizon. The methodology is harmonised with ISO 31000 and APRA CPS 230 operational-risk practice.</t>
  </si>
  <si>
    <t xml:space="preserve">Likelihood scale (1–5)</t>
  </si>
  <si>
    <t xml:space="preserve">Score</t>
  </si>
  <si>
    <t xml:space="preserve">Rating</t>
  </si>
  <si>
    <t xml:space="preserve">Descriptor</t>
  </si>
  <si>
    <t xml:space="preserve">Rare</t>
  </si>
  <si>
    <t xml:space="preserve">May occur only in exceptional circumstances (&lt; once in 5 years)</t>
  </si>
  <si>
    <t xml:space="preserve">Unlikely</t>
  </si>
  <si>
    <t xml:space="preserve">Could occur but not expected (within 2–5 years)</t>
  </si>
  <si>
    <t xml:space="preserve">Possible</t>
  </si>
  <si>
    <t xml:space="preserve">Might occur at some point (within 1–2 years)</t>
  </si>
  <si>
    <t xml:space="preserve">Likely</t>
  </si>
  <si>
    <t xml:space="preserve">Will probably occur in most circumstances (within 12 months)</t>
  </si>
  <si>
    <t xml:space="preserve">Almost certain</t>
  </si>
  <si>
    <t xml:space="preserve">Expected to occur in most circumstances (multiple times a year)</t>
  </si>
  <si>
    <t xml:space="preserve">Impact scale (1–5)</t>
  </si>
  <si>
    <t xml:space="preserve">Descriptor (member / operational / regulatory)</t>
  </si>
  <si>
    <t xml:space="preserve">Insignificant</t>
  </si>
  <si>
    <t xml:space="preserve">Negligible disruption; no member harm; no reportable event</t>
  </si>
  <si>
    <t xml:space="preserve">Minor</t>
  </si>
  <si>
    <t xml:space="preserve">Short, contained disruption; minimal member impact; internal only</t>
  </si>
  <si>
    <t xml:space="preserve">Moderate</t>
  </si>
  <si>
    <t xml:space="preserve">Noticeable disruption to a critical operation; some member impact; possible regulator notification</t>
  </si>
  <si>
    <t xml:space="preserve">Major</t>
  </si>
  <si>
    <t xml:space="preserve">Critical operation breaches tolerance; widespread member harm; mandatory incident notification</t>
  </si>
  <si>
    <t xml:space="preserve">Severe</t>
  </si>
  <si>
    <t xml:space="preserve">Sustained loss of a critical operation; systemic member harm; significant regulatory / reputational consequence</t>
  </si>
  <si>
    <t xml:space="preserve">Risk rating bands (Likelihood × Impact)</t>
  </si>
  <si>
    <t xml:space="preserve">Score range</t>
  </si>
  <si>
    <t xml:space="preserve">Required action</t>
  </si>
  <si>
    <t xml:space="preserve">16 – 25</t>
  </si>
  <si>
    <t xml:space="preserve">Critical</t>
  </si>
  <si>
    <t xml:space="preserve">Board-level escalation; immediate treatment; track to closure</t>
  </si>
  <si>
    <t xml:space="preserve">10 – 15</t>
  </si>
  <si>
    <t xml:space="preserve">High</t>
  </si>
  <si>
    <t xml:space="preserve">Senior management ownership; treat within 90 days</t>
  </si>
  <si>
    <t xml:space="preserve">5 – 9</t>
  </si>
  <si>
    <t xml:space="preserve">Medium</t>
  </si>
  <si>
    <t xml:space="preserve">Manage by routine controls; treat within 180 days</t>
  </si>
  <si>
    <t xml:space="preserve">1 – 4</t>
  </si>
  <si>
    <t xml:space="preserve">Low</t>
  </si>
  <si>
    <t xml:space="preserve">Accept / monitor; review at next cycle</t>
  </si>
  <si>
    <t xml:space="preserve">CIRMP hazard vectors</t>
  </si>
  <si>
    <t xml:space="preserve">Vector</t>
  </si>
  <si>
    <t xml:space="preserve">CIRMP Rules</t>
  </si>
  <si>
    <t xml:space="preserve">What it covers</t>
  </si>
  <si>
    <t xml:space="preserve">Cyber &amp; information security</t>
  </si>
  <si>
    <t xml:space="preserve">s8</t>
  </si>
  <si>
    <t xml:space="preserve">Threats to the confidentiality, integrity or availability of the asset’s ICT and data (ransomware, intrusion, data breach)</t>
  </si>
  <si>
    <t xml:space="preserve">Personnel</t>
  </si>
  <si>
    <t xml:space="preserve">s9</t>
  </si>
  <si>
    <t xml:space="preserve">Trusted-insider, screening, key-person and people-driven risks to the asset</t>
  </si>
  <si>
    <t xml:space="preserve">Supply chain</t>
  </si>
  <si>
    <t xml:space="preserve">s10</t>
  </si>
  <si>
    <t xml:space="preserve">Risks arising from material service providers, concentration, nth-party dependencies and FOCI</t>
  </si>
  <si>
    <t xml:space="preserve">Physical &amp; natural</t>
  </si>
  <si>
    <t xml:space="preserve">s11</t>
  </si>
  <si>
    <t xml:space="preserve">Physical security of sites and natural-hazard / environmental threats to the asset</t>
  </si>
  <si>
    <t xml:space="preserve">Control effectiveness: Effective = controls reliably reduce the risk | Partial = controls exist but have gaps | Ineffective = controls absent or not operating.</t>
  </si>
  <si>
    <t xml:space="preserve">Note: TMB is fictional. Ratings and timelines are illustrative of a realistic mid-tier ADI, not measurements of a real entity.</t>
  </si>
  <si>
    <t xml:space="preserve">Document 2  |  Risk register  |  Inherent → residual scoring across the four hazard vectors</t>
  </si>
  <si>
    <t xml:space="preserve">Risk ID</t>
  </si>
  <si>
    <t xml:space="preserve">Hazard Vector</t>
  </si>
  <si>
    <t xml:space="preserve">Risk Title</t>
  </si>
  <si>
    <t xml:space="preserve">Risk Description (cause → event → consequence)</t>
  </si>
  <si>
    <t xml:space="preserve">Affected Critical Operation</t>
  </si>
  <si>
    <t xml:space="preserve">CIRMP Rule</t>
  </si>
  <si>
    <t xml:space="preserve">Inh. L</t>
  </si>
  <si>
    <t xml:space="preserve">Inh. I</t>
  </si>
  <si>
    <t xml:space="preserve">Inh. Score</t>
  </si>
  <si>
    <t xml:space="preserve">Inh. Rating</t>
  </si>
  <si>
    <t xml:space="preserve">Key Existing Controls</t>
  </si>
  <si>
    <t xml:space="preserve">Control Effect.</t>
  </si>
  <si>
    <t xml:space="preserve">Res. L</t>
  </si>
  <si>
    <t xml:space="preserve">Res. I</t>
  </si>
  <si>
    <t xml:space="preserve">Res. Score</t>
  </si>
  <si>
    <t xml:space="preserve">Res. Rating</t>
  </si>
  <si>
    <t xml:space="preserve">Treatment / Remediation</t>
  </si>
  <si>
    <t xml:space="preserve">Risk Owner</t>
  </si>
  <si>
    <t xml:space="preserve">Target</t>
  </si>
  <si>
    <t xml:space="preserve">Status</t>
  </si>
  <si>
    <t xml:space="preserve">CYB-01</t>
  </si>
  <si>
    <t xml:space="preserve">Ransomware on core banking / payments platform</t>
  </si>
  <si>
    <t xml:space="preserve">Phishing or exploited edge service → ransomware encrypts core platform → sustained loss of payments and deposit access.</t>
  </si>
  <si>
    <t xml:space="preserve">Payments and settlement</t>
  </si>
  <si>
    <t xml:space="preserve">EDR on endpoints; immutable offline backups; network segmentation; Essential Eight ML-1 baseline.</t>
  </si>
  <si>
    <t xml:space="preserve">Partial</t>
  </si>
  <si>
    <t xml:space="preserve">Uplift Essential Eight to ML-2; test isolated recovery to tolerance; segment payments zone.</t>
  </si>
  <si>
    <t xml:space="preserve">CISO</t>
  </si>
  <si>
    <t xml:space="preserve">90 days</t>
  </si>
  <si>
    <t xml:space="preserve">In Progress</t>
  </si>
  <si>
    <t xml:space="preserve">CYB-02</t>
  </si>
  <si>
    <t xml:space="preserve">Privileged credential compromise</t>
  </si>
  <si>
    <t xml:space="preserve">Inconsistent MFA on legacy admin paths → stolen privileged credentials → unauthorised access to the asset.</t>
  </si>
  <si>
    <t xml:space="preserve">Card authorisation and processing</t>
  </si>
  <si>
    <t xml:space="preserve">Phishing-resistant MFA on most systems; PAM partially deployed; access reviews.</t>
  </si>
  <si>
    <t xml:space="preserve">Enforce MFA on all admin access; complete PAM rollout; just-in-time privilege.</t>
  </si>
  <si>
    <t xml:space="preserve">30 days</t>
  </si>
  <si>
    <t xml:space="preserve">CYB-03</t>
  </si>
  <si>
    <t xml:space="preserve">Unpatched internet-facing systems</t>
  </si>
  <si>
    <t xml:space="preserve">Patch cadence gaps on internet-facing systems → known vulnerability exploited → data breach and NDB exposure.</t>
  </si>
  <si>
    <t xml:space="preserve">Internet and mobile banking</t>
  </si>
  <si>
    <t xml:space="preserve">Monthly patch cycle; quarterly vulnerability scanning; WAF.</t>
  </si>
  <si>
    <t xml:space="preserve">48-hour patch SLA for internet-facing systems; align to Essential Eight ML-2 patching.</t>
  </si>
  <si>
    <t xml:space="preserve">Head of Security Operations</t>
  </si>
  <si>
    <t xml:space="preserve">CYB-04</t>
  </si>
  <si>
    <t xml:space="preserve">DDoS on digital banking channels</t>
  </si>
  <si>
    <t xml:space="preserve">Volumetric or application-layer DDoS → degradation of internet/mobile banking → loss of member access.</t>
  </si>
  <si>
    <t xml:space="preserve">CDN with DDoS scrubbing; rate limiting; upstream provider mitigation.</t>
  </si>
  <si>
    <t xml:space="preserve">Effective</t>
  </si>
  <si>
    <t xml:space="preserve">Validate failover and scrubbing capacity; run a DDoS scenario test.</t>
  </si>
  <si>
    <t xml:space="preserve">Head of Infrastructure</t>
  </si>
  <si>
    <t xml:space="preserve">180 days</t>
  </si>
  <si>
    <t xml:space="preserve">Monitoring</t>
  </si>
  <si>
    <t xml:space="preserve">SUP-01</t>
  </si>
  <si>
    <t xml:space="preserve">Cloud concentration risk</t>
  </si>
  <si>
    <t xml:space="preserve">Core platform hosted with a single cloud provider → provider-wide outage → cascading loss of critical operations.</t>
  </si>
  <si>
    <t xml:space="preserve">Single CSP with multi-AZ; DR region configured; CPS 230 service agreement.</t>
  </si>
  <si>
    <t xml:space="preserve">Document exit / portability plan; strengthen MSP agreement; test cross-region recovery.</t>
  </si>
  <si>
    <t xml:space="preserve">Head of Third-Party Risk</t>
  </si>
  <si>
    <t xml:space="preserve">Open</t>
  </si>
  <si>
    <t xml:space="preserve">SUP-02</t>
  </si>
  <si>
    <t xml:space="preserve">Material payments processor failure</t>
  </si>
  <si>
    <t xml:space="preserve">Failure or insolvency of a material payments processor → inability to clear / settle → settlement disruption.</t>
  </si>
  <si>
    <t xml:space="preserve">SLA and KPI monitoring; financial-viability checks at onboarding.</t>
  </si>
  <si>
    <t xml:space="preserve">Build BCP for processor outage; assess alternate provider; add step-in / continuity clauses.</t>
  </si>
  <si>
    <t xml:space="preserve">Head of Payments</t>
  </si>
  <si>
    <t xml:space="preserve">SUP-03</t>
  </si>
  <si>
    <t xml:space="preserve">Fourth-party (nth-party) dependency opacity</t>
  </si>
  <si>
    <t xml:space="preserve">Limited visibility of material subcontractors behind key providers → unseen downstream failure → untracked exposure.</t>
  </si>
  <si>
    <t xml:space="preserve">Fraud detection and transaction monitoring</t>
  </si>
  <si>
    <t xml:space="preserve">Primary-vendor due diligence; limited nth-party mapping.</t>
  </si>
  <si>
    <t xml:space="preserve">Ineffective</t>
  </si>
  <si>
    <t xml:space="preserve">Map material subcontractors per CPS 230; require subcontractor-disclosure clauses; supply-chain vulnerability mapping per draft CIRMP rules.</t>
  </si>
  <si>
    <t xml:space="preserve">SUP-04</t>
  </si>
  <si>
    <t xml:space="preserve">Vendor of concern (FOCI) &amp; overseas processing</t>
  </si>
  <si>
    <t xml:space="preserve">Foreign ownership/control/influence in a key software supplier, plus overseas storage of sensitive operational information → interference / data-sovereignty risk.</t>
  </si>
  <si>
    <t xml:space="preserve">Contractual security clauses; partial data-residency controls.</t>
  </si>
  <si>
    <t xml:space="preserve">Conduct FOCI assessment of key suppliers; restrict overseas storage of sensitive operational information; align to draft CIRMP FOCI rules.</t>
  </si>
  <si>
    <t xml:space="preserve">PER-01</t>
  </si>
  <si>
    <t xml:space="preserve">Trusted-insider data exfiltration</t>
  </si>
  <si>
    <t xml:space="preserve">Privileged employee with broad access → deliberate exfiltration of member data → large-scale privacy breach.</t>
  </si>
  <si>
    <t xml:space="preserve">Deposit-taking and account access</t>
  </si>
  <si>
    <t xml:space="preserve">Partial DLP; periodic access reviews; logging.</t>
  </si>
  <si>
    <t xml:space="preserve">Uplift DLP coverage; enforce least privilege; deploy user-behaviour analytics (UEBA).</t>
  </si>
  <si>
    <t xml:space="preserve">CISO / CHRO</t>
  </si>
  <si>
    <t xml:space="preserve">PER-02</t>
  </si>
  <si>
    <t xml:space="preserve">Background screening gaps for trusted roles</t>
  </si>
  <si>
    <t xml:space="preserve">Pre-employment checks only, no periodic re-screening → undetected change in trusted-person risk → insider compromise.</t>
  </si>
  <si>
    <t xml:space="preserve">Pre-employment police / identity checks; role-based access.</t>
  </si>
  <si>
    <t xml:space="preserve">Establish a personnel security plan; periodic re-screening for trusted roles; prepare for AusCheck-style background checking.</t>
  </si>
  <si>
    <t xml:space="preserve">CHRO</t>
  </si>
  <si>
    <t xml:space="preserve">PER-03</t>
  </si>
  <si>
    <t xml:space="preserve">Key-person dependency in payments operations</t>
  </si>
  <si>
    <t xml:space="preserve">Critical payments knowledge concentrated in a few individuals → unplanned departure / absence → inability to operate or recover.</t>
  </si>
  <si>
    <t xml:space="preserve">Some documented runbooks; partial cross-skilling.</t>
  </si>
  <si>
    <t xml:space="preserve">Cross-train; complete operational runbooks; define succession for key roles.</t>
  </si>
  <si>
    <t xml:space="preserve">Head of Payments Operations</t>
  </si>
  <si>
    <t xml:space="preserve">PER-04</t>
  </si>
  <si>
    <t xml:space="preserve">Staff phishing / social engineering</t>
  </si>
  <si>
    <t xml:space="preserve">Targeted phishing or social engineering of staff → credential or session compromise → foothold into the asset.</t>
  </si>
  <si>
    <t xml:space="preserve">Security awareness training; email filtering; MFA.</t>
  </si>
  <si>
    <t xml:space="preserve">Run recurring phishing simulations; deploy phishing-resistant (FIDO2) MFA; tighten help-desk verification.</t>
  </si>
  <si>
    <t xml:space="preserve">PHY-01</t>
  </si>
  <si>
    <t xml:space="preserve">Primary data centre power / flood outage</t>
  </si>
  <si>
    <t xml:space="preserve">Power failure or flooding at the primary data centre → loss of processing capability → outage of critical operations.</t>
  </si>
  <si>
    <t xml:space="preserve">UPS and standby generator; environmental monitoring; DR site.</t>
  </si>
  <si>
    <t xml:space="preserve">Test DR failover to tolerance; validate fuel / power endurance; review site flood rating.</t>
  </si>
  <si>
    <t xml:space="preserve">PHY-02</t>
  </si>
  <si>
    <t xml:space="preserve">Unauthorised physical access to facilities</t>
  </si>
  <si>
    <t xml:space="preserve">Weak physical access control to data centre / comms rooms → unauthorised entry → tampering or theft of equipment.</t>
  </si>
  <si>
    <t xml:space="preserve">Badge access; CCTV; visitor sign-in.</t>
  </si>
  <si>
    <t xml:space="preserve">Quarterly physical-access reviews; tighten visitor escorting; central physical-security register.</t>
  </si>
  <si>
    <t xml:space="preserve">Head of Facilities</t>
  </si>
  <si>
    <t xml:space="preserve">PHY-03</t>
  </si>
  <si>
    <t xml:space="preserve">Natural hazard affecting Sydney HQ / site</t>
  </si>
  <si>
    <t xml:space="preserve">Flood, storm or bushfire affecting Sydney HQ and primary site → site inaccessibility → disruption to operations and staff.</t>
  </si>
  <si>
    <t xml:space="preserve">Business continuity plan; remote-work capability.</t>
  </si>
  <si>
    <t xml:space="preserve">Scenario-test extreme-but-plausible events (CPS 230); confirm geo-separated recovery site.</t>
  </si>
  <si>
    <t xml:space="preserve">Head of Operational Resilience</t>
  </si>
  <si>
    <t xml:space="preserve">PHY-04</t>
  </si>
  <si>
    <t xml:space="preserve">Concurrent loss of primary and secondary sites</t>
  </si>
  <si>
    <t xml:space="preserve">Insufficient geographic separation between sites → a single regional event disables both → inability to recover within tolerance.</t>
  </si>
  <si>
    <t xml:space="preserve">Two operating sites; separation distance unverified.</t>
  </si>
  <si>
    <t xml:space="preserve">Verify geographic separation; define recovery-time tolerance; conduct a dual-site loss test.</t>
  </si>
  <si>
    <t xml:space="preserve">Tasman Mutual Bank — CIRMP Risk Profile Summary</t>
  </si>
  <si>
    <t xml:space="preserve">Document 2  |  Auto-calculated from the Risk Register tab</t>
  </si>
  <si>
    <t xml:space="preserve">Risks by hazard vector</t>
  </si>
  <si>
    <t xml:space="preserve">Category</t>
  </si>
  <si>
    <t xml:space="preserve">Count</t>
  </si>
  <si>
    <t xml:space="preserve">Total</t>
  </si>
  <si>
    <t xml:space="preserve">Inherent risk distribution</t>
  </si>
  <si>
    <t xml:space="preserve">Residual risk distribution</t>
  </si>
  <si>
    <t xml:space="preserve">Residual High + Critical (priority backlog)</t>
  </si>
  <si>
    <t xml:space="preserve">Read this register alongside the four hazard-module documents and the CPS 230 supply-chain cross-map.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</si>
</sst>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11"/>
      <color rgb="FF2E4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FF99"/>
      </patternFill>
    </fill>
    <fill>
      <patternFill patternType="solid">
        <fgColor rgb="FF92D050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9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9"/>
      </font>
      <fill>
        <patternFill>
          <bgColor rgb="FFED7D31"/>
        </patternFill>
      </fill>
    </dxf>
    <dxf>
      <font>
        <name val="Arial"/>
        <charset val="1"/>
        <family val="0"/>
        <color rgb="FF000000"/>
        <sz val="9"/>
      </font>
      <fill>
        <patternFill>
          <bgColor rgb="FFFFD966"/>
        </patternFill>
      </fill>
    </dxf>
    <dxf>
      <font>
        <name val="Arial"/>
        <charset val="1"/>
        <family val="0"/>
        <color rgb="FF000000"/>
        <sz val="9"/>
      </font>
      <fill>
        <patternFill>
          <bgColor rgb="FF92D05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0"/>
    <col collapsed="false" customWidth="true" hidden="false" outlineLevel="0" max="8" min="4" style="1" width="10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</row>
    <row r="8" customFormat="false" ht="15" hidden="false" customHeight="false" outlineLevel="0" collapsed="false">
      <c r="A8" s="6" t="s">
        <v>4</v>
      </c>
    </row>
    <row r="9" customFormat="false" ht="15" hidden="false" customHeight="false" outlineLevel="0" collapsed="false">
      <c r="A9" s="7" t="s">
        <v>5</v>
      </c>
      <c r="B9" s="7" t="s">
        <v>6</v>
      </c>
      <c r="C9" s="7" t="s">
        <v>7</v>
      </c>
    </row>
    <row r="10" customFormat="false" ht="15" hidden="false" customHeight="false" outlineLevel="0" collapsed="false">
      <c r="A10" s="8" t="n">
        <v>1</v>
      </c>
      <c r="B10" s="9" t="s">
        <v>8</v>
      </c>
      <c r="C10" s="9" t="s">
        <v>9</v>
      </c>
    </row>
    <row r="11" customFormat="false" ht="15" hidden="false" customHeight="false" outlineLevel="0" collapsed="false">
      <c r="A11" s="8" t="n">
        <v>2</v>
      </c>
      <c r="B11" s="9" t="s">
        <v>10</v>
      </c>
      <c r="C11" s="9" t="s">
        <v>11</v>
      </c>
    </row>
    <row r="12" customFormat="false" ht="15" hidden="false" customHeight="false" outlineLevel="0" collapsed="false">
      <c r="A12" s="8" t="n">
        <v>3</v>
      </c>
      <c r="B12" s="9" t="s">
        <v>12</v>
      </c>
      <c r="C12" s="9" t="s">
        <v>13</v>
      </c>
    </row>
    <row r="13" customFormat="false" ht="15" hidden="false" customHeight="false" outlineLevel="0" collapsed="false">
      <c r="A13" s="8" t="n">
        <v>4</v>
      </c>
      <c r="B13" s="9" t="s">
        <v>14</v>
      </c>
      <c r="C13" s="9" t="s">
        <v>15</v>
      </c>
    </row>
    <row r="14" customFormat="false" ht="15" hidden="false" customHeight="false" outlineLevel="0" collapsed="false">
      <c r="A14" s="8" t="n">
        <v>5</v>
      </c>
      <c r="B14" s="9" t="s">
        <v>16</v>
      </c>
      <c r="C14" s="9" t="s">
        <v>17</v>
      </c>
    </row>
    <row r="16" customFormat="false" ht="15" hidden="false" customHeight="false" outlineLevel="0" collapsed="false">
      <c r="A16" s="6" t="s">
        <v>18</v>
      </c>
    </row>
    <row r="17" customFormat="false" ht="15" hidden="false" customHeight="false" outlineLevel="0" collapsed="false">
      <c r="A17" s="7" t="s">
        <v>5</v>
      </c>
      <c r="B17" s="7" t="s">
        <v>6</v>
      </c>
      <c r="C17" s="7" t="s">
        <v>19</v>
      </c>
    </row>
    <row r="18" customFormat="false" ht="15" hidden="false" customHeight="false" outlineLevel="0" collapsed="false">
      <c r="A18" s="8" t="n">
        <v>1</v>
      </c>
      <c r="B18" s="9" t="s">
        <v>20</v>
      </c>
      <c r="C18" s="9" t="s">
        <v>21</v>
      </c>
    </row>
    <row r="19" customFormat="false" ht="15" hidden="false" customHeight="false" outlineLevel="0" collapsed="false">
      <c r="A19" s="8" t="n">
        <v>2</v>
      </c>
      <c r="B19" s="9" t="s">
        <v>22</v>
      </c>
      <c r="C19" s="9" t="s">
        <v>23</v>
      </c>
    </row>
    <row r="20" customFormat="false" ht="23.85" hidden="false" customHeight="false" outlineLevel="0" collapsed="false">
      <c r="A20" s="8" t="n">
        <v>3</v>
      </c>
      <c r="B20" s="9" t="s">
        <v>24</v>
      </c>
      <c r="C20" s="9" t="s">
        <v>25</v>
      </c>
    </row>
    <row r="21" customFormat="false" ht="23.85" hidden="false" customHeight="false" outlineLevel="0" collapsed="false">
      <c r="A21" s="8" t="n">
        <v>4</v>
      </c>
      <c r="B21" s="9" t="s">
        <v>26</v>
      </c>
      <c r="C21" s="9" t="s">
        <v>27</v>
      </c>
    </row>
    <row r="22" customFormat="false" ht="23.85" hidden="false" customHeight="false" outlineLevel="0" collapsed="false">
      <c r="A22" s="8" t="n">
        <v>5</v>
      </c>
      <c r="B22" s="9" t="s">
        <v>28</v>
      </c>
      <c r="C22" s="9" t="s">
        <v>29</v>
      </c>
    </row>
    <row r="24" customFormat="false" ht="15" hidden="false" customHeight="false" outlineLevel="0" collapsed="false">
      <c r="A24" s="6" t="s">
        <v>30</v>
      </c>
    </row>
    <row r="25" customFormat="false" ht="15" hidden="false" customHeight="false" outlineLevel="0" collapsed="false">
      <c r="A25" s="7" t="s">
        <v>31</v>
      </c>
      <c r="B25" s="7" t="s">
        <v>6</v>
      </c>
      <c r="C25" s="7" t="s">
        <v>32</v>
      </c>
    </row>
    <row r="26" customFormat="false" ht="15" hidden="false" customHeight="false" outlineLevel="0" collapsed="false">
      <c r="A26" s="8" t="s">
        <v>33</v>
      </c>
      <c r="B26" s="10" t="s">
        <v>34</v>
      </c>
      <c r="C26" s="9" t="s">
        <v>35</v>
      </c>
    </row>
    <row r="27" customFormat="false" ht="15" hidden="false" customHeight="false" outlineLevel="0" collapsed="false">
      <c r="A27" s="8" t="s">
        <v>36</v>
      </c>
      <c r="B27" s="11" t="s">
        <v>37</v>
      </c>
      <c r="C27" s="9" t="s">
        <v>38</v>
      </c>
    </row>
    <row r="28" customFormat="false" ht="15" hidden="false" customHeight="false" outlineLevel="0" collapsed="false">
      <c r="A28" s="8" t="s">
        <v>39</v>
      </c>
      <c r="B28" s="12" t="s">
        <v>40</v>
      </c>
      <c r="C28" s="9" t="s">
        <v>41</v>
      </c>
    </row>
    <row r="29" customFormat="false" ht="15" hidden="false" customHeight="false" outlineLevel="0" collapsed="false">
      <c r="A29" s="8" t="s">
        <v>42</v>
      </c>
      <c r="B29" s="13" t="s">
        <v>43</v>
      </c>
      <c r="C29" s="9" t="s">
        <v>44</v>
      </c>
    </row>
    <row r="31" customFormat="false" ht="15" hidden="false" customHeight="false" outlineLevel="0" collapsed="false">
      <c r="A31" s="6" t="s">
        <v>45</v>
      </c>
    </row>
    <row r="32" customFormat="false" ht="15" hidden="false" customHeight="false" outlineLevel="0" collapsed="false">
      <c r="A32" s="7" t="s">
        <v>46</v>
      </c>
      <c r="B32" s="7" t="s">
        <v>47</v>
      </c>
      <c r="C32" s="7" t="s">
        <v>48</v>
      </c>
    </row>
    <row r="33" customFormat="false" ht="35.05" hidden="false" customHeight="false" outlineLevel="0" collapsed="false">
      <c r="A33" s="9" t="s">
        <v>49</v>
      </c>
      <c r="B33" s="8" t="s">
        <v>50</v>
      </c>
      <c r="C33" s="9" t="s">
        <v>51</v>
      </c>
    </row>
    <row r="34" customFormat="false" ht="15" hidden="false" customHeight="false" outlineLevel="0" collapsed="false">
      <c r="A34" s="9" t="s">
        <v>52</v>
      </c>
      <c r="B34" s="8" t="s">
        <v>53</v>
      </c>
      <c r="C34" s="9" t="s">
        <v>54</v>
      </c>
    </row>
    <row r="35" customFormat="false" ht="23.85" hidden="false" customHeight="false" outlineLevel="0" collapsed="false">
      <c r="A35" s="9" t="s">
        <v>55</v>
      </c>
      <c r="B35" s="8" t="s">
        <v>56</v>
      </c>
      <c r="C35" s="9" t="s">
        <v>57</v>
      </c>
    </row>
    <row r="36" customFormat="false" ht="15" hidden="false" customHeight="false" outlineLevel="0" collapsed="false">
      <c r="A36" s="9" t="s">
        <v>58</v>
      </c>
      <c r="B36" s="8" t="s">
        <v>59</v>
      </c>
      <c r="C36" s="9" t="s">
        <v>60</v>
      </c>
    </row>
    <row r="38" customFormat="false" ht="15" hidden="false" customHeight="false" outlineLevel="0" collapsed="false">
      <c r="A38" s="14" t="s">
        <v>61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14" t="s">
        <v>62</v>
      </c>
      <c r="B39" s="14"/>
      <c r="C39" s="14"/>
      <c r="D39" s="14"/>
      <c r="E39" s="14"/>
      <c r="F39" s="14"/>
      <c r="G39" s="14"/>
      <c r="H39" s="14"/>
    </row>
  </sheetData>
  <mergeCells count="3">
    <mergeCell ref="A5:H6"/>
    <mergeCell ref="A38:H38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8"/>
    <col collapsed="false" customWidth="true" hidden="false" outlineLevel="0" max="8" min="7" style="1" width="6"/>
    <col collapsed="false" customWidth="true" hidden="false" outlineLevel="0" max="9" min="9" style="1" width="7"/>
    <col collapsed="false" customWidth="true" hidden="false" outlineLevel="0" max="10" min="10" style="1" width="9"/>
    <col collapsed="false" customWidth="true" hidden="false" outlineLevel="0" max="11" min="11" style="1" width="34"/>
    <col collapsed="false" customWidth="true" hidden="false" outlineLevel="0" max="12" min="12" style="1" width="11"/>
    <col collapsed="false" customWidth="true" hidden="false" outlineLevel="0" max="14" min="13" style="1" width="6"/>
    <col collapsed="false" customWidth="true" hidden="false" outlineLevel="0" max="15" min="15" style="1" width="7"/>
    <col collapsed="false" customWidth="true" hidden="false" outlineLevel="0" max="16" min="16" style="1" width="9"/>
    <col collapsed="false" customWidth="true" hidden="false" outlineLevel="0" max="17" min="17" style="1" width="40"/>
    <col collapsed="false" customWidth="true" hidden="false" outlineLevel="0" max="18" min="18" style="1" width="18"/>
    <col collapsed="false" customWidth="true" hidden="false" outlineLevel="0" max="19" min="19" style="1" width="9"/>
    <col collapsed="false" customWidth="true" hidden="false" outlineLevel="0" max="20" min="20" style="1" width="12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63</v>
      </c>
    </row>
    <row r="4" customFormat="false" ht="23.85" hidden="false" customHeight="false" outlineLevel="0" collapsed="false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77</v>
      </c>
      <c r="O4" s="7" t="s">
        <v>78</v>
      </c>
      <c r="P4" s="7" t="s">
        <v>79</v>
      </c>
      <c r="Q4" s="7" t="s">
        <v>80</v>
      </c>
      <c r="R4" s="7" t="s">
        <v>81</v>
      </c>
      <c r="S4" s="7" t="s">
        <v>82</v>
      </c>
      <c r="T4" s="7" t="s">
        <v>83</v>
      </c>
    </row>
    <row r="5" customFormat="false" ht="32.8" hidden="false" customHeight="false" outlineLevel="0" collapsed="false">
      <c r="A5" s="15" t="s">
        <v>84</v>
      </c>
      <c r="B5" s="15" t="s">
        <v>49</v>
      </c>
      <c r="C5" s="16" t="s">
        <v>85</v>
      </c>
      <c r="D5" s="16" t="s">
        <v>86</v>
      </c>
      <c r="E5" s="16" t="s">
        <v>87</v>
      </c>
      <c r="F5" s="15" t="s">
        <v>50</v>
      </c>
      <c r="G5" s="15" t="n">
        <v>4</v>
      </c>
      <c r="H5" s="15" t="n">
        <v>5</v>
      </c>
      <c r="I5" s="15" t="n">
        <f aca="false">G5*H5</f>
        <v>20</v>
      </c>
      <c r="J5" s="15" t="str">
        <f aca="false">IF(I5&gt;=16,"Critical",IF(I5&gt;=10,"High",IF(I5&gt;=5,"Medium","Low")))</f>
        <v>Critical</v>
      </c>
      <c r="K5" s="16" t="s">
        <v>88</v>
      </c>
      <c r="L5" s="15" t="s">
        <v>89</v>
      </c>
      <c r="M5" s="15" t="n">
        <v>2</v>
      </c>
      <c r="N5" s="15" t="n">
        <v>5</v>
      </c>
      <c r="O5" s="15" t="n">
        <f aca="false">M5*N5</f>
        <v>10</v>
      </c>
      <c r="P5" s="15" t="str">
        <f aca="false">IF(O5&gt;=16,"Critical",IF(O5&gt;=10,"High",IF(O5&gt;=5,"Medium","Low")))</f>
        <v>High</v>
      </c>
      <c r="Q5" s="16" t="s">
        <v>90</v>
      </c>
      <c r="R5" s="16" t="s">
        <v>91</v>
      </c>
      <c r="S5" s="15" t="s">
        <v>92</v>
      </c>
      <c r="T5" s="15" t="s">
        <v>93</v>
      </c>
    </row>
    <row r="6" customFormat="false" ht="32.8" hidden="false" customHeight="false" outlineLevel="0" collapsed="false">
      <c r="A6" s="15" t="s">
        <v>94</v>
      </c>
      <c r="B6" s="15" t="s">
        <v>49</v>
      </c>
      <c r="C6" s="16" t="s">
        <v>95</v>
      </c>
      <c r="D6" s="16" t="s">
        <v>96</v>
      </c>
      <c r="E6" s="16" t="s">
        <v>97</v>
      </c>
      <c r="F6" s="15" t="s">
        <v>50</v>
      </c>
      <c r="G6" s="15" t="n">
        <v>4</v>
      </c>
      <c r="H6" s="15" t="n">
        <v>4</v>
      </c>
      <c r="I6" s="15" t="n">
        <f aca="false">G6*H6</f>
        <v>16</v>
      </c>
      <c r="J6" s="15" t="str">
        <f aca="false">IF(I6&gt;=16,"Critical",IF(I6&gt;=10,"High",IF(I6&gt;=5,"Medium","Low")))</f>
        <v>Critical</v>
      </c>
      <c r="K6" s="16" t="s">
        <v>98</v>
      </c>
      <c r="L6" s="15" t="s">
        <v>89</v>
      </c>
      <c r="M6" s="15" t="n">
        <v>2</v>
      </c>
      <c r="N6" s="15" t="n">
        <v>4</v>
      </c>
      <c r="O6" s="15" t="n">
        <f aca="false">M6*N6</f>
        <v>8</v>
      </c>
      <c r="P6" s="15" t="str">
        <f aca="false">IF(O6&gt;=16,"Critical",IF(O6&gt;=10,"High",IF(O6&gt;=5,"Medium","Low")))</f>
        <v>Medium</v>
      </c>
      <c r="Q6" s="16" t="s">
        <v>99</v>
      </c>
      <c r="R6" s="16" t="s">
        <v>91</v>
      </c>
      <c r="S6" s="15" t="s">
        <v>100</v>
      </c>
      <c r="T6" s="15" t="s">
        <v>93</v>
      </c>
    </row>
    <row r="7" customFormat="false" ht="32.8" hidden="false" customHeight="false" outlineLevel="0" collapsed="false">
      <c r="A7" s="15" t="s">
        <v>101</v>
      </c>
      <c r="B7" s="15" t="s">
        <v>49</v>
      </c>
      <c r="C7" s="16" t="s">
        <v>102</v>
      </c>
      <c r="D7" s="16" t="s">
        <v>103</v>
      </c>
      <c r="E7" s="16" t="s">
        <v>104</v>
      </c>
      <c r="F7" s="15" t="s">
        <v>50</v>
      </c>
      <c r="G7" s="15" t="n">
        <v>3</v>
      </c>
      <c r="H7" s="15" t="n">
        <v>4</v>
      </c>
      <c r="I7" s="15" t="n">
        <f aca="false">G7*H7</f>
        <v>12</v>
      </c>
      <c r="J7" s="15" t="str">
        <f aca="false">IF(I7&gt;=16,"Critical",IF(I7&gt;=10,"High",IF(I7&gt;=5,"Medium","Low")))</f>
        <v>High</v>
      </c>
      <c r="K7" s="16" t="s">
        <v>105</v>
      </c>
      <c r="L7" s="15" t="s">
        <v>89</v>
      </c>
      <c r="M7" s="15" t="n">
        <v>2</v>
      </c>
      <c r="N7" s="15" t="n">
        <v>4</v>
      </c>
      <c r="O7" s="15" t="n">
        <f aca="false">M7*N7</f>
        <v>8</v>
      </c>
      <c r="P7" s="15" t="str">
        <f aca="false">IF(O7&gt;=16,"Critical",IF(O7&gt;=10,"High",IF(O7&gt;=5,"Medium","Low")))</f>
        <v>Medium</v>
      </c>
      <c r="Q7" s="16" t="s">
        <v>106</v>
      </c>
      <c r="R7" s="16" t="s">
        <v>107</v>
      </c>
      <c r="S7" s="15" t="s">
        <v>92</v>
      </c>
      <c r="T7" s="15" t="s">
        <v>93</v>
      </c>
    </row>
    <row r="8" customFormat="false" ht="22.35" hidden="false" customHeight="false" outlineLevel="0" collapsed="false">
      <c r="A8" s="15" t="s">
        <v>108</v>
      </c>
      <c r="B8" s="15" t="s">
        <v>49</v>
      </c>
      <c r="C8" s="16" t="s">
        <v>109</v>
      </c>
      <c r="D8" s="16" t="s">
        <v>110</v>
      </c>
      <c r="E8" s="16" t="s">
        <v>104</v>
      </c>
      <c r="F8" s="15" t="s">
        <v>50</v>
      </c>
      <c r="G8" s="15" t="n">
        <v>3</v>
      </c>
      <c r="H8" s="15" t="n">
        <v>3</v>
      </c>
      <c r="I8" s="15" t="n">
        <f aca="false">G8*H8</f>
        <v>9</v>
      </c>
      <c r="J8" s="15" t="str">
        <f aca="false">IF(I8&gt;=16,"Critical",IF(I8&gt;=10,"High",IF(I8&gt;=5,"Medium","Low")))</f>
        <v>Medium</v>
      </c>
      <c r="K8" s="16" t="s">
        <v>111</v>
      </c>
      <c r="L8" s="15" t="s">
        <v>112</v>
      </c>
      <c r="M8" s="15" t="n">
        <v>2</v>
      </c>
      <c r="N8" s="15" t="n">
        <v>3</v>
      </c>
      <c r="O8" s="15" t="n">
        <f aca="false">M8*N8</f>
        <v>6</v>
      </c>
      <c r="P8" s="15" t="str">
        <f aca="false">IF(O8&gt;=16,"Critical",IF(O8&gt;=10,"High",IF(O8&gt;=5,"Medium","Low")))</f>
        <v>Medium</v>
      </c>
      <c r="Q8" s="16" t="s">
        <v>113</v>
      </c>
      <c r="R8" s="16" t="s">
        <v>114</v>
      </c>
      <c r="S8" s="15" t="s">
        <v>115</v>
      </c>
      <c r="T8" s="15" t="s">
        <v>116</v>
      </c>
    </row>
    <row r="9" customFormat="false" ht="32.8" hidden="false" customHeight="false" outlineLevel="0" collapsed="false">
      <c r="A9" s="15" t="s">
        <v>117</v>
      </c>
      <c r="B9" s="15" t="s">
        <v>55</v>
      </c>
      <c r="C9" s="16" t="s">
        <v>118</v>
      </c>
      <c r="D9" s="16" t="s">
        <v>119</v>
      </c>
      <c r="E9" s="16" t="s">
        <v>87</v>
      </c>
      <c r="F9" s="15" t="s">
        <v>56</v>
      </c>
      <c r="G9" s="15" t="n">
        <v>3</v>
      </c>
      <c r="H9" s="15" t="n">
        <v>5</v>
      </c>
      <c r="I9" s="15" t="n">
        <f aca="false">G9*H9</f>
        <v>15</v>
      </c>
      <c r="J9" s="15" t="str">
        <f aca="false">IF(I9&gt;=16,"Critical",IF(I9&gt;=10,"High",IF(I9&gt;=5,"Medium","Low")))</f>
        <v>High</v>
      </c>
      <c r="K9" s="16" t="s">
        <v>120</v>
      </c>
      <c r="L9" s="15" t="s">
        <v>89</v>
      </c>
      <c r="M9" s="15" t="n">
        <v>2</v>
      </c>
      <c r="N9" s="15" t="n">
        <v>5</v>
      </c>
      <c r="O9" s="15" t="n">
        <f aca="false">M9*N9</f>
        <v>10</v>
      </c>
      <c r="P9" s="15" t="str">
        <f aca="false">IF(O9&gt;=16,"Critical",IF(O9&gt;=10,"High",IF(O9&gt;=5,"Medium","Low")))</f>
        <v>High</v>
      </c>
      <c r="Q9" s="16" t="s">
        <v>121</v>
      </c>
      <c r="R9" s="16" t="s">
        <v>122</v>
      </c>
      <c r="S9" s="15" t="s">
        <v>115</v>
      </c>
      <c r="T9" s="15" t="s">
        <v>123</v>
      </c>
    </row>
    <row r="10" customFormat="false" ht="32.8" hidden="false" customHeight="false" outlineLevel="0" collapsed="false">
      <c r="A10" s="15" t="s">
        <v>124</v>
      </c>
      <c r="B10" s="15" t="s">
        <v>55</v>
      </c>
      <c r="C10" s="16" t="s">
        <v>125</v>
      </c>
      <c r="D10" s="16" t="s">
        <v>126</v>
      </c>
      <c r="E10" s="16" t="s">
        <v>87</v>
      </c>
      <c r="F10" s="15" t="s">
        <v>56</v>
      </c>
      <c r="G10" s="15" t="n">
        <v>2</v>
      </c>
      <c r="H10" s="15" t="n">
        <v>5</v>
      </c>
      <c r="I10" s="15" t="n">
        <f aca="false">G10*H10</f>
        <v>10</v>
      </c>
      <c r="J10" s="15" t="str">
        <f aca="false">IF(I10&gt;=16,"Critical",IF(I10&gt;=10,"High",IF(I10&gt;=5,"Medium","Low")))</f>
        <v>High</v>
      </c>
      <c r="K10" s="16" t="s">
        <v>127</v>
      </c>
      <c r="L10" s="15" t="s">
        <v>89</v>
      </c>
      <c r="M10" s="15" t="n">
        <v>2</v>
      </c>
      <c r="N10" s="15" t="n">
        <v>4</v>
      </c>
      <c r="O10" s="15" t="n">
        <f aca="false">M10*N10</f>
        <v>8</v>
      </c>
      <c r="P10" s="15" t="str">
        <f aca="false">IF(O10&gt;=16,"Critical",IF(O10&gt;=10,"High",IF(O10&gt;=5,"Medium","Low")))</f>
        <v>Medium</v>
      </c>
      <c r="Q10" s="16" t="s">
        <v>128</v>
      </c>
      <c r="R10" s="16" t="s">
        <v>129</v>
      </c>
      <c r="S10" s="15" t="s">
        <v>92</v>
      </c>
      <c r="T10" s="15" t="s">
        <v>123</v>
      </c>
    </row>
    <row r="11" customFormat="false" ht="32.8" hidden="false" customHeight="false" outlineLevel="0" collapsed="false">
      <c r="A11" s="15" t="s">
        <v>130</v>
      </c>
      <c r="B11" s="15" t="s">
        <v>55</v>
      </c>
      <c r="C11" s="16" t="s">
        <v>131</v>
      </c>
      <c r="D11" s="16" t="s">
        <v>132</v>
      </c>
      <c r="E11" s="16" t="s">
        <v>133</v>
      </c>
      <c r="F11" s="15" t="s">
        <v>56</v>
      </c>
      <c r="G11" s="15" t="n">
        <v>3</v>
      </c>
      <c r="H11" s="15" t="n">
        <v>4</v>
      </c>
      <c r="I11" s="15" t="n">
        <f aca="false">G11*H11</f>
        <v>12</v>
      </c>
      <c r="J11" s="15" t="str">
        <f aca="false">IF(I11&gt;=16,"Critical",IF(I11&gt;=10,"High",IF(I11&gt;=5,"Medium","Low")))</f>
        <v>High</v>
      </c>
      <c r="K11" s="16" t="s">
        <v>134</v>
      </c>
      <c r="L11" s="15" t="s">
        <v>135</v>
      </c>
      <c r="M11" s="15" t="n">
        <v>2</v>
      </c>
      <c r="N11" s="15" t="n">
        <v>4</v>
      </c>
      <c r="O11" s="15" t="n">
        <f aca="false">M11*N11</f>
        <v>8</v>
      </c>
      <c r="P11" s="15" t="str">
        <f aca="false">IF(O11&gt;=16,"Critical",IF(O11&gt;=10,"High",IF(O11&gt;=5,"Medium","Low")))</f>
        <v>Medium</v>
      </c>
      <c r="Q11" s="16" t="s">
        <v>136</v>
      </c>
      <c r="R11" s="16" t="s">
        <v>122</v>
      </c>
      <c r="S11" s="15" t="s">
        <v>115</v>
      </c>
      <c r="T11" s="15" t="s">
        <v>123</v>
      </c>
    </row>
    <row r="12" customFormat="false" ht="43.25" hidden="false" customHeight="false" outlineLevel="0" collapsed="false">
      <c r="A12" s="15" t="s">
        <v>137</v>
      </c>
      <c r="B12" s="15" t="s">
        <v>55</v>
      </c>
      <c r="C12" s="16" t="s">
        <v>138</v>
      </c>
      <c r="D12" s="16" t="s">
        <v>139</v>
      </c>
      <c r="E12" s="16" t="s">
        <v>97</v>
      </c>
      <c r="F12" s="15" t="s">
        <v>56</v>
      </c>
      <c r="G12" s="15" t="n">
        <v>3</v>
      </c>
      <c r="H12" s="15" t="n">
        <v>4</v>
      </c>
      <c r="I12" s="15" t="n">
        <f aca="false">G12*H12</f>
        <v>12</v>
      </c>
      <c r="J12" s="15" t="str">
        <f aca="false">IF(I12&gt;=16,"Critical",IF(I12&gt;=10,"High",IF(I12&gt;=5,"Medium","Low")))</f>
        <v>High</v>
      </c>
      <c r="K12" s="16" t="s">
        <v>140</v>
      </c>
      <c r="L12" s="15" t="s">
        <v>89</v>
      </c>
      <c r="M12" s="15" t="n">
        <v>2</v>
      </c>
      <c r="N12" s="15" t="n">
        <v>4</v>
      </c>
      <c r="O12" s="15" t="n">
        <f aca="false">M12*N12</f>
        <v>8</v>
      </c>
      <c r="P12" s="15" t="str">
        <f aca="false">IF(O12&gt;=16,"Critical",IF(O12&gt;=10,"High",IF(O12&gt;=5,"Medium","Low")))</f>
        <v>Medium</v>
      </c>
      <c r="Q12" s="16" t="s">
        <v>141</v>
      </c>
      <c r="R12" s="16" t="s">
        <v>122</v>
      </c>
      <c r="S12" s="15" t="s">
        <v>115</v>
      </c>
      <c r="T12" s="15" t="s">
        <v>123</v>
      </c>
    </row>
    <row r="13" customFormat="false" ht="32.8" hidden="false" customHeight="false" outlineLevel="0" collapsed="false">
      <c r="A13" s="15" t="s">
        <v>142</v>
      </c>
      <c r="B13" s="15" t="s">
        <v>52</v>
      </c>
      <c r="C13" s="16" t="s">
        <v>143</v>
      </c>
      <c r="D13" s="16" t="s">
        <v>144</v>
      </c>
      <c r="E13" s="16" t="s">
        <v>145</v>
      </c>
      <c r="F13" s="15" t="s">
        <v>53</v>
      </c>
      <c r="G13" s="15" t="n">
        <v>3</v>
      </c>
      <c r="H13" s="15" t="n">
        <v>5</v>
      </c>
      <c r="I13" s="15" t="n">
        <f aca="false">G13*H13</f>
        <v>15</v>
      </c>
      <c r="J13" s="15" t="str">
        <f aca="false">IF(I13&gt;=16,"Critical",IF(I13&gt;=10,"High",IF(I13&gt;=5,"Medium","Low")))</f>
        <v>High</v>
      </c>
      <c r="K13" s="16" t="s">
        <v>146</v>
      </c>
      <c r="L13" s="15" t="s">
        <v>89</v>
      </c>
      <c r="M13" s="15" t="n">
        <v>2</v>
      </c>
      <c r="N13" s="15" t="n">
        <v>4</v>
      </c>
      <c r="O13" s="15" t="n">
        <f aca="false">M13*N13</f>
        <v>8</v>
      </c>
      <c r="P13" s="15" t="str">
        <f aca="false">IF(O13&gt;=16,"Critical",IF(O13&gt;=10,"High",IF(O13&gt;=5,"Medium","Low")))</f>
        <v>Medium</v>
      </c>
      <c r="Q13" s="16" t="s">
        <v>147</v>
      </c>
      <c r="R13" s="16" t="s">
        <v>148</v>
      </c>
      <c r="S13" s="15" t="s">
        <v>92</v>
      </c>
      <c r="T13" s="15" t="s">
        <v>93</v>
      </c>
    </row>
    <row r="14" customFormat="false" ht="32.8" hidden="false" customHeight="false" outlineLevel="0" collapsed="false">
      <c r="A14" s="15" t="s">
        <v>149</v>
      </c>
      <c r="B14" s="15" t="s">
        <v>52</v>
      </c>
      <c r="C14" s="16" t="s">
        <v>150</v>
      </c>
      <c r="D14" s="16" t="s">
        <v>151</v>
      </c>
      <c r="E14" s="16" t="s">
        <v>87</v>
      </c>
      <c r="F14" s="15" t="s">
        <v>53</v>
      </c>
      <c r="G14" s="15" t="n">
        <v>3</v>
      </c>
      <c r="H14" s="15" t="n">
        <v>4</v>
      </c>
      <c r="I14" s="15" t="n">
        <f aca="false">G14*H14</f>
        <v>12</v>
      </c>
      <c r="J14" s="15" t="str">
        <f aca="false">IF(I14&gt;=16,"Critical",IF(I14&gt;=10,"High",IF(I14&gt;=5,"Medium","Low")))</f>
        <v>High</v>
      </c>
      <c r="K14" s="16" t="s">
        <v>152</v>
      </c>
      <c r="L14" s="15" t="s">
        <v>89</v>
      </c>
      <c r="M14" s="15" t="n">
        <v>2</v>
      </c>
      <c r="N14" s="15" t="n">
        <v>4</v>
      </c>
      <c r="O14" s="15" t="n">
        <f aca="false">M14*N14</f>
        <v>8</v>
      </c>
      <c r="P14" s="15" t="str">
        <f aca="false">IF(O14&gt;=16,"Critical",IF(O14&gt;=10,"High",IF(O14&gt;=5,"Medium","Low")))</f>
        <v>Medium</v>
      </c>
      <c r="Q14" s="16" t="s">
        <v>153</v>
      </c>
      <c r="R14" s="16" t="s">
        <v>154</v>
      </c>
      <c r="S14" s="15" t="s">
        <v>92</v>
      </c>
      <c r="T14" s="15" t="s">
        <v>123</v>
      </c>
    </row>
    <row r="15" customFormat="false" ht="32.8" hidden="false" customHeight="false" outlineLevel="0" collapsed="false">
      <c r="A15" s="15" t="s">
        <v>155</v>
      </c>
      <c r="B15" s="15" t="s">
        <v>52</v>
      </c>
      <c r="C15" s="16" t="s">
        <v>156</v>
      </c>
      <c r="D15" s="16" t="s">
        <v>157</v>
      </c>
      <c r="E15" s="16" t="s">
        <v>87</v>
      </c>
      <c r="F15" s="15" t="s">
        <v>53</v>
      </c>
      <c r="G15" s="15" t="n">
        <v>4</v>
      </c>
      <c r="H15" s="15" t="n">
        <v>3</v>
      </c>
      <c r="I15" s="15" t="n">
        <f aca="false">G15*H15</f>
        <v>12</v>
      </c>
      <c r="J15" s="15" t="str">
        <f aca="false">IF(I15&gt;=16,"Critical",IF(I15&gt;=10,"High",IF(I15&gt;=5,"Medium","Low")))</f>
        <v>High</v>
      </c>
      <c r="K15" s="16" t="s">
        <v>158</v>
      </c>
      <c r="L15" s="15" t="s">
        <v>89</v>
      </c>
      <c r="M15" s="15" t="n">
        <v>2</v>
      </c>
      <c r="N15" s="15" t="n">
        <v>3</v>
      </c>
      <c r="O15" s="15" t="n">
        <f aca="false">M15*N15</f>
        <v>6</v>
      </c>
      <c r="P15" s="15" t="str">
        <f aca="false">IF(O15&gt;=16,"Critical",IF(O15&gt;=10,"High",IF(O15&gt;=5,"Medium","Low")))</f>
        <v>Medium</v>
      </c>
      <c r="Q15" s="16" t="s">
        <v>159</v>
      </c>
      <c r="R15" s="16" t="s">
        <v>160</v>
      </c>
      <c r="S15" s="15" t="s">
        <v>115</v>
      </c>
      <c r="T15" s="15" t="s">
        <v>123</v>
      </c>
    </row>
    <row r="16" customFormat="false" ht="32.8" hidden="false" customHeight="false" outlineLevel="0" collapsed="false">
      <c r="A16" s="15" t="s">
        <v>161</v>
      </c>
      <c r="B16" s="15" t="s">
        <v>52</v>
      </c>
      <c r="C16" s="16" t="s">
        <v>162</v>
      </c>
      <c r="D16" s="16" t="s">
        <v>163</v>
      </c>
      <c r="E16" s="16" t="s">
        <v>104</v>
      </c>
      <c r="F16" s="15" t="s">
        <v>53</v>
      </c>
      <c r="G16" s="15" t="n">
        <v>4</v>
      </c>
      <c r="H16" s="15" t="n">
        <v>4</v>
      </c>
      <c r="I16" s="15" t="n">
        <f aca="false">G16*H16</f>
        <v>16</v>
      </c>
      <c r="J16" s="15" t="str">
        <f aca="false">IF(I16&gt;=16,"Critical",IF(I16&gt;=10,"High",IF(I16&gt;=5,"Medium","Low")))</f>
        <v>Critical</v>
      </c>
      <c r="K16" s="16" t="s">
        <v>164</v>
      </c>
      <c r="L16" s="15" t="s">
        <v>89</v>
      </c>
      <c r="M16" s="15" t="n">
        <v>3</v>
      </c>
      <c r="N16" s="15" t="n">
        <v>3</v>
      </c>
      <c r="O16" s="15" t="n">
        <f aca="false">M16*N16</f>
        <v>9</v>
      </c>
      <c r="P16" s="15" t="str">
        <f aca="false">IF(O16&gt;=16,"Critical",IF(O16&gt;=10,"High",IF(O16&gt;=5,"Medium","Low")))</f>
        <v>Medium</v>
      </c>
      <c r="Q16" s="16" t="s">
        <v>165</v>
      </c>
      <c r="R16" s="16" t="s">
        <v>91</v>
      </c>
      <c r="S16" s="15" t="s">
        <v>92</v>
      </c>
      <c r="T16" s="15" t="s">
        <v>93</v>
      </c>
    </row>
    <row r="17" customFormat="false" ht="32.8" hidden="false" customHeight="false" outlineLevel="0" collapsed="false">
      <c r="A17" s="15" t="s">
        <v>166</v>
      </c>
      <c r="B17" s="15" t="s">
        <v>58</v>
      </c>
      <c r="C17" s="16" t="s">
        <v>167</v>
      </c>
      <c r="D17" s="16" t="s">
        <v>168</v>
      </c>
      <c r="E17" s="16" t="s">
        <v>87</v>
      </c>
      <c r="F17" s="15" t="s">
        <v>59</v>
      </c>
      <c r="G17" s="15" t="n">
        <v>2</v>
      </c>
      <c r="H17" s="15" t="n">
        <v>5</v>
      </c>
      <c r="I17" s="15" t="n">
        <f aca="false">G17*H17</f>
        <v>10</v>
      </c>
      <c r="J17" s="15" t="str">
        <f aca="false">IF(I17&gt;=16,"Critical",IF(I17&gt;=10,"High",IF(I17&gt;=5,"Medium","Low")))</f>
        <v>High</v>
      </c>
      <c r="K17" s="16" t="s">
        <v>169</v>
      </c>
      <c r="L17" s="15" t="s">
        <v>112</v>
      </c>
      <c r="M17" s="15" t="n">
        <v>1</v>
      </c>
      <c r="N17" s="15" t="n">
        <v>5</v>
      </c>
      <c r="O17" s="15" t="n">
        <f aca="false">M17*N17</f>
        <v>5</v>
      </c>
      <c r="P17" s="15" t="str">
        <f aca="false">IF(O17&gt;=16,"Critical",IF(O17&gt;=10,"High",IF(O17&gt;=5,"Medium","Low")))</f>
        <v>Medium</v>
      </c>
      <c r="Q17" s="16" t="s">
        <v>170</v>
      </c>
      <c r="R17" s="16" t="s">
        <v>114</v>
      </c>
      <c r="S17" s="15" t="s">
        <v>115</v>
      </c>
      <c r="T17" s="15" t="s">
        <v>116</v>
      </c>
    </row>
    <row r="18" customFormat="false" ht="32.8" hidden="false" customHeight="false" outlineLevel="0" collapsed="false">
      <c r="A18" s="15" t="s">
        <v>171</v>
      </c>
      <c r="B18" s="15" t="s">
        <v>58</v>
      </c>
      <c r="C18" s="16" t="s">
        <v>172</v>
      </c>
      <c r="D18" s="16" t="s">
        <v>173</v>
      </c>
      <c r="E18" s="16" t="s">
        <v>97</v>
      </c>
      <c r="F18" s="15" t="s">
        <v>59</v>
      </c>
      <c r="G18" s="15" t="n">
        <v>2</v>
      </c>
      <c r="H18" s="15" t="n">
        <v>4</v>
      </c>
      <c r="I18" s="15" t="n">
        <f aca="false">G18*H18</f>
        <v>8</v>
      </c>
      <c r="J18" s="15" t="str">
        <f aca="false">IF(I18&gt;=16,"Critical",IF(I18&gt;=10,"High",IF(I18&gt;=5,"Medium","Low")))</f>
        <v>Medium</v>
      </c>
      <c r="K18" s="16" t="s">
        <v>174</v>
      </c>
      <c r="L18" s="15" t="s">
        <v>112</v>
      </c>
      <c r="M18" s="15" t="n">
        <v>1</v>
      </c>
      <c r="N18" s="15" t="n">
        <v>4</v>
      </c>
      <c r="O18" s="15" t="n">
        <f aca="false">M18*N18</f>
        <v>4</v>
      </c>
      <c r="P18" s="15" t="str">
        <f aca="false">IF(O18&gt;=16,"Critical",IF(O18&gt;=10,"High",IF(O18&gt;=5,"Medium","Low")))</f>
        <v>Low</v>
      </c>
      <c r="Q18" s="16" t="s">
        <v>175</v>
      </c>
      <c r="R18" s="16" t="s">
        <v>176</v>
      </c>
      <c r="S18" s="15" t="s">
        <v>115</v>
      </c>
      <c r="T18" s="15" t="s">
        <v>116</v>
      </c>
    </row>
    <row r="19" customFormat="false" ht="32.8" hidden="false" customHeight="false" outlineLevel="0" collapsed="false">
      <c r="A19" s="15" t="s">
        <v>177</v>
      </c>
      <c r="B19" s="15" t="s">
        <v>58</v>
      </c>
      <c r="C19" s="16" t="s">
        <v>178</v>
      </c>
      <c r="D19" s="16" t="s">
        <v>179</v>
      </c>
      <c r="E19" s="16" t="s">
        <v>133</v>
      </c>
      <c r="F19" s="15" t="s">
        <v>59</v>
      </c>
      <c r="G19" s="15" t="n">
        <v>2</v>
      </c>
      <c r="H19" s="15" t="n">
        <v>4</v>
      </c>
      <c r="I19" s="15" t="n">
        <f aca="false">G19*H19</f>
        <v>8</v>
      </c>
      <c r="J19" s="15" t="str">
        <f aca="false">IF(I19&gt;=16,"Critical",IF(I19&gt;=10,"High",IF(I19&gt;=5,"Medium","Low")))</f>
        <v>Medium</v>
      </c>
      <c r="K19" s="16" t="s">
        <v>180</v>
      </c>
      <c r="L19" s="15" t="s">
        <v>89</v>
      </c>
      <c r="M19" s="15" t="n">
        <v>2</v>
      </c>
      <c r="N19" s="15" t="n">
        <v>3</v>
      </c>
      <c r="O19" s="15" t="n">
        <f aca="false">M19*N19</f>
        <v>6</v>
      </c>
      <c r="P19" s="15" t="str">
        <f aca="false">IF(O19&gt;=16,"Critical",IF(O19&gt;=10,"High",IF(O19&gt;=5,"Medium","Low")))</f>
        <v>Medium</v>
      </c>
      <c r="Q19" s="16" t="s">
        <v>181</v>
      </c>
      <c r="R19" s="16" t="s">
        <v>182</v>
      </c>
      <c r="S19" s="15" t="s">
        <v>115</v>
      </c>
      <c r="T19" s="15" t="s">
        <v>123</v>
      </c>
    </row>
    <row r="20" customFormat="false" ht="32.8" hidden="false" customHeight="false" outlineLevel="0" collapsed="false">
      <c r="A20" s="15" t="s">
        <v>183</v>
      </c>
      <c r="B20" s="15" t="s">
        <v>58</v>
      </c>
      <c r="C20" s="16" t="s">
        <v>184</v>
      </c>
      <c r="D20" s="16" t="s">
        <v>185</v>
      </c>
      <c r="E20" s="16" t="s">
        <v>87</v>
      </c>
      <c r="F20" s="15" t="s">
        <v>59</v>
      </c>
      <c r="G20" s="15" t="n">
        <v>2</v>
      </c>
      <c r="H20" s="15" t="n">
        <v>5</v>
      </c>
      <c r="I20" s="15" t="n">
        <f aca="false">G20*H20</f>
        <v>10</v>
      </c>
      <c r="J20" s="15" t="str">
        <f aca="false">IF(I20&gt;=16,"Critical",IF(I20&gt;=10,"High",IF(I20&gt;=5,"Medium","Low")))</f>
        <v>High</v>
      </c>
      <c r="K20" s="16" t="s">
        <v>186</v>
      </c>
      <c r="L20" s="15" t="s">
        <v>89</v>
      </c>
      <c r="M20" s="15" t="n">
        <v>1</v>
      </c>
      <c r="N20" s="15" t="n">
        <v>5</v>
      </c>
      <c r="O20" s="15" t="n">
        <f aca="false">M20*N20</f>
        <v>5</v>
      </c>
      <c r="P20" s="15" t="str">
        <f aca="false">IF(O20&gt;=16,"Critical",IF(O20&gt;=10,"High",IF(O20&gt;=5,"Medium","Low")))</f>
        <v>Medium</v>
      </c>
      <c r="Q20" s="16" t="s">
        <v>187</v>
      </c>
      <c r="R20" s="16" t="s">
        <v>182</v>
      </c>
      <c r="S20" s="15" t="s">
        <v>115</v>
      </c>
      <c r="T20" s="15" t="s">
        <v>123</v>
      </c>
    </row>
  </sheetData>
  <conditionalFormatting sqref="J5:J20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P5:P20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4" min="3" style="1" width="4"/>
  </cols>
  <sheetData>
    <row r="1" customFormat="false" ht="19.7" hidden="false" customHeight="false" outlineLevel="0" collapsed="false">
      <c r="A1" s="2" t="s">
        <v>188</v>
      </c>
    </row>
    <row r="2" customFormat="false" ht="15" hidden="false" customHeight="false" outlineLevel="0" collapsed="false">
      <c r="A2" s="3" t="s">
        <v>189</v>
      </c>
    </row>
    <row r="4" customFormat="false" ht="15" hidden="false" customHeight="false" outlineLevel="0" collapsed="false">
      <c r="A4" s="6" t="s">
        <v>190</v>
      </c>
    </row>
    <row r="5" customFormat="false" ht="15" hidden="false" customHeight="false" outlineLevel="0" collapsed="false">
      <c r="A5" s="7" t="s">
        <v>191</v>
      </c>
      <c r="B5" s="7" t="s">
        <v>192</v>
      </c>
    </row>
    <row r="6" customFormat="false" ht="15" hidden="false" customHeight="false" outlineLevel="0" collapsed="false">
      <c r="A6" s="17" t="s">
        <v>49</v>
      </c>
      <c r="B6" s="18" t="n">
        <f aca="false">COUNTIF('Risk Register'!$B$5:$B$20,"Cyber &amp; information security")</f>
        <v>4</v>
      </c>
    </row>
    <row r="7" customFormat="false" ht="15" hidden="false" customHeight="false" outlineLevel="0" collapsed="false">
      <c r="A7" s="17" t="s">
        <v>52</v>
      </c>
      <c r="B7" s="18" t="n">
        <f aca="false">COUNTIF('Risk Register'!$B$5:$B$20,"Personnel")</f>
        <v>4</v>
      </c>
    </row>
    <row r="8" customFormat="false" ht="15" hidden="false" customHeight="false" outlineLevel="0" collapsed="false">
      <c r="A8" s="17" t="s">
        <v>55</v>
      </c>
      <c r="B8" s="18" t="n">
        <f aca="false">COUNTIF('Risk Register'!$B$5:$B$20,"Supply chain")</f>
        <v>4</v>
      </c>
    </row>
    <row r="9" customFormat="false" ht="15" hidden="false" customHeight="false" outlineLevel="0" collapsed="false">
      <c r="A9" s="17" t="s">
        <v>58</v>
      </c>
      <c r="B9" s="18" t="n">
        <f aca="false">COUNTIF('Risk Register'!$B$5:$B$20,"Physical &amp; natural")</f>
        <v>4</v>
      </c>
    </row>
    <row r="10" customFormat="false" ht="15" hidden="false" customHeight="false" outlineLevel="0" collapsed="false">
      <c r="A10" s="19" t="s">
        <v>193</v>
      </c>
      <c r="B10" s="20" t="n">
        <f aca="false">SUM(B6:B9)</f>
        <v>16</v>
      </c>
    </row>
    <row r="13" customFormat="false" ht="15" hidden="false" customHeight="false" outlineLevel="0" collapsed="false">
      <c r="A13" s="6" t="s">
        <v>194</v>
      </c>
    </row>
    <row r="14" customFormat="false" ht="15" hidden="false" customHeight="false" outlineLevel="0" collapsed="false">
      <c r="A14" s="7" t="s">
        <v>191</v>
      </c>
      <c r="B14" s="7" t="s">
        <v>192</v>
      </c>
    </row>
    <row r="15" customFormat="false" ht="15" hidden="false" customHeight="false" outlineLevel="0" collapsed="false">
      <c r="A15" s="21" t="s">
        <v>34</v>
      </c>
      <c r="B15" s="18" t="n">
        <f aca="false">COUNTIF('Risk Register'!$J$5:$J$20,"Critical")</f>
        <v>3</v>
      </c>
    </row>
    <row r="16" customFormat="false" ht="15" hidden="false" customHeight="false" outlineLevel="0" collapsed="false">
      <c r="A16" s="22" t="s">
        <v>37</v>
      </c>
      <c r="B16" s="18" t="n">
        <f aca="false">COUNTIF('Risk Register'!$J$5:$J$20,"High")</f>
        <v>10</v>
      </c>
    </row>
    <row r="17" customFormat="false" ht="15" hidden="false" customHeight="false" outlineLevel="0" collapsed="false">
      <c r="A17" s="23" t="s">
        <v>40</v>
      </c>
      <c r="B17" s="18" t="n">
        <f aca="false">COUNTIF('Risk Register'!$J$5:$J$20,"Medium")</f>
        <v>3</v>
      </c>
    </row>
    <row r="18" customFormat="false" ht="15" hidden="false" customHeight="false" outlineLevel="0" collapsed="false">
      <c r="A18" s="24" t="s">
        <v>43</v>
      </c>
      <c r="B18" s="18" t="n">
        <f aca="false">COUNTIF('Risk Register'!$J$5:$J$20,"Low")</f>
        <v>0</v>
      </c>
    </row>
    <row r="19" customFormat="false" ht="15" hidden="false" customHeight="false" outlineLevel="0" collapsed="false">
      <c r="A19" s="19" t="s">
        <v>193</v>
      </c>
      <c r="B19" s="20" t="n">
        <f aca="false">SUM(B15:B18)</f>
        <v>16</v>
      </c>
    </row>
    <row r="22" customFormat="false" ht="15" hidden="false" customHeight="false" outlineLevel="0" collapsed="false">
      <c r="A22" s="6" t="s">
        <v>195</v>
      </c>
    </row>
    <row r="23" customFormat="false" ht="15" hidden="false" customHeight="false" outlineLevel="0" collapsed="false">
      <c r="A23" s="7" t="s">
        <v>191</v>
      </c>
      <c r="B23" s="7" t="s">
        <v>192</v>
      </c>
    </row>
    <row r="24" customFormat="false" ht="15" hidden="false" customHeight="false" outlineLevel="0" collapsed="false">
      <c r="A24" s="21" t="s">
        <v>34</v>
      </c>
      <c r="B24" s="18" t="n">
        <f aca="false">COUNTIF('Risk Register'!$P$5:$P$20,"Critical")</f>
        <v>0</v>
      </c>
    </row>
    <row r="25" customFormat="false" ht="15" hidden="false" customHeight="false" outlineLevel="0" collapsed="false">
      <c r="A25" s="22" t="s">
        <v>37</v>
      </c>
      <c r="B25" s="18" t="n">
        <f aca="false">COUNTIF('Risk Register'!$P$5:$P$20,"High")</f>
        <v>2</v>
      </c>
    </row>
    <row r="26" customFormat="false" ht="15" hidden="false" customHeight="false" outlineLevel="0" collapsed="false">
      <c r="A26" s="23" t="s">
        <v>40</v>
      </c>
      <c r="B26" s="18" t="n">
        <f aca="false">COUNTIF('Risk Register'!$P$5:$P$20,"Medium")</f>
        <v>13</v>
      </c>
    </row>
    <row r="27" customFormat="false" ht="15" hidden="false" customHeight="false" outlineLevel="0" collapsed="false">
      <c r="A27" s="24" t="s">
        <v>43</v>
      </c>
      <c r="B27" s="18" t="n">
        <f aca="false">COUNTIF('Risk Register'!$P$5:$P$20,"Low")</f>
        <v>1</v>
      </c>
    </row>
    <row r="28" customFormat="false" ht="15" hidden="false" customHeight="false" outlineLevel="0" collapsed="false">
      <c r="A28" s="19" t="s">
        <v>193</v>
      </c>
      <c r="B28" s="20" t="n">
        <f aca="false">SUM(B24:B27)</f>
        <v>16</v>
      </c>
    </row>
    <row r="31" customFormat="false" ht="17.35" hidden="false" customHeight="false" outlineLevel="0" collapsed="false">
      <c r="A31" s="25" t="s">
        <v>196</v>
      </c>
      <c r="B31" s="26" t="n">
        <f aca="false">COUNTIF('Risk Register'!$P$5:$P$20,"Critical")+COUNTIF('Risk Register'!$P$5:$P$20,"High")</f>
        <v>2</v>
      </c>
    </row>
    <row r="33" customFormat="false" ht="15" hidden="false" customHeight="false" outlineLevel="0" collapsed="false">
      <c r="A33" s="14" t="s">
        <v>197</v>
      </c>
      <c r="B33" s="14"/>
      <c r="C33" s="14"/>
      <c r="D33" s="14"/>
    </row>
  </sheetData>
  <mergeCells count="1"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2026-06-23T05:47:57Z</dcterms:created>
  <dc:creator>openpyxl</dc:creator>
  <dc:description/>
  <dc:language>en-US</dc:language>
  <cp:lastModifiedBy/>
  <dcterms:modified xsi:type="dcterms:W3CDTF">2026-06-23T05:47:57Z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