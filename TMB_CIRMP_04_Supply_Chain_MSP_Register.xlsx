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oach &amp; Tiering" sheetId="1" state="visible" r:id="rId3"/>
    <sheet name="MSP Register" sheetId="2" state="visible" r:id="rId4"/>
    <sheet name="CPS230 - SoCI Cross-map" sheetId="3" state="visible" r:id="rId5"/>
    <sheet name="FOCI &amp; Offsho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<sst xmlns="http://schemas.openxmlformats.org/spreadsheetml/2006/main" count="387" uniqueCount="256">
  <si>
    <t xml:space="preserve">Tasman Mutual Bank — Supply-Chain Hazard Module</t>
  </si>
  <si>
    <t xml:space="preserve">Document 4  |  CIRMP supply-chain hazard (s10) + APRA CPS 230 service provider management  |  Scenario-based portfolio artefact</t>
  </si>
  <si>
    <t xml:space="preserve">Purpose</t>
  </si>
  <si>
    <t xml:space="preserve">This module identifies, tiers and assesses TMB’s service providers against two convergent regimes: the SoCI CIRMP supply-chain hazard (Rules s10, plus the draft amendments) and APRA CPS 230 service provider management. A single material service provider (MSP) register satisfies the CPS 230 register obligation and doubles as the supply-chain dependency map the draft CIRMP rules anticipate.</t>
  </si>
  <si>
    <t xml:space="preserve">Materiality (CPS 230)</t>
  </si>
  <si>
    <t xml:space="preserve">A provider is material if TMB’s reliance on it could have a significant impact on its business operations or its ability to manage operational risk — including any provider that supports a critical operation. Material providers are recorded in the register and the register is submitted to APRA.</t>
  </si>
  <si>
    <t xml:space="preserve">Provider tiering model</t>
  </si>
  <si>
    <t xml:space="preserve">Tier</t>
  </si>
  <si>
    <t xml:space="preserve">Definition</t>
  </si>
  <si>
    <t xml:space="preserve">Treatment</t>
  </si>
  <si>
    <t xml:space="preserve">Tier 1 – Critical material</t>
  </si>
  <si>
    <t xml:space="preserve">Supports a critical operation; disruption would breach an impact tolerance.</t>
  </si>
  <si>
    <t xml:space="preserve">Full due diligence, APRA-grade contract, BCP/exit plan, continuous monitoring, board visibility.</t>
  </si>
  <si>
    <t xml:space="preserve">Tier 2 – Material</t>
  </si>
  <si>
    <t xml:space="preserve">Material operational risk but not directly a critical operation.</t>
  </si>
  <si>
    <t xml:space="preserve">Due diligence, formal agreement, periodic review, assurance evidence.</t>
  </si>
  <si>
    <t xml:space="preserve">Tier 3 – Significant</t>
  </si>
  <si>
    <t xml:space="preserve">Tracked but not material; limited sensitive-data or operational exposure.</t>
  </si>
  <si>
    <t xml:space="preserve">Lightweight assessment; monitor for change in materiality.</t>
  </si>
  <si>
    <t xml:space="preserve">Inherent risk factors assessed</t>
  </si>
  <si>
    <t xml:space="preserve">•  Data sensitivity (member PII / sensitive operational information handled)</t>
  </si>
  <si>
    <t xml:space="preserve">•  Access level (privileged or network access to the asset)</t>
  </si>
  <si>
    <t xml:space="preserve">•  Criticality (whether it underpins a critical operation)</t>
  </si>
  <si>
    <t xml:space="preserve">•  Concentration (single-provider dependency / lack of substitutability)</t>
  </si>
  <si>
    <t xml:space="preserve">•  Location &amp; data residency (onshore vs offshore processing/storage)</t>
  </si>
  <si>
    <t xml:space="preserve">•  Foreign Ownership, Control or Influence (FOCI) — vendor-of-concern lens</t>
  </si>
  <si>
    <t xml:space="preserve">SoCI supply-chain hazard (s10) — what the register addresses</t>
  </si>
  <si>
    <t xml:space="preserve">•  Identify supply-chain hazards that pose a material risk to the asset and mitigate their impact (s10).</t>
  </si>
  <si>
    <t xml:space="preserve">•  Draft amendments: map supply-chain dependencies, identify and manage vulnerabilities, and manage vendors of concern linked to foreign ownership, control or influence.</t>
  </si>
  <si>
    <t xml:space="preserve">•  SoCI material risk: storage, transmission or processing of sensitive operational information outside Australia — flagged per provider.</t>
  </si>
  <si>
    <t xml:space="preserve">Register summary (auto)</t>
  </si>
  <si>
    <t xml:space="preserve">Metric</t>
  </si>
  <si>
    <t xml:space="preserve">Count</t>
  </si>
  <si>
    <t xml:space="preserve">Tier 1 – Critical material providers</t>
  </si>
  <si>
    <t xml:space="preserve">Tier 2 – Material providers</t>
  </si>
  <si>
    <t xml:space="preserve">Providers in the MSP register (material)</t>
  </si>
  <si>
    <t xml:space="preserve">Providers with offshore sensitive-data exposure</t>
  </si>
  <si>
    <t xml:space="preserve">Providers requiring a FOCI / vendor-of-concern assessment</t>
  </si>
  <si>
    <t xml:space="preserve">Providers with High residual risk</t>
  </si>
  <si>
    <t xml:space="preserve">TMB is fictional; provider names are generic role descriptions, not real vendors.</t>
  </si>
  <si>
    <t xml:space="preserve">Tasman Mutual Bank — Material Service Provider Register</t>
  </si>
  <si>
    <t xml:space="preserve">Document 4  |  CPS 230 register fields + SoCI supply-chain hazard flags</t>
  </si>
  <si>
    <t xml:space="preserve">Provider ID</t>
  </si>
  <si>
    <t xml:space="preserve">Service Provider</t>
  </si>
  <si>
    <t xml:space="preserve">Service Provided</t>
  </si>
  <si>
    <t xml:space="preserve">Supports Critical Op?</t>
  </si>
  <si>
    <t xml:space="preserve">Critical Operation(s)</t>
  </si>
  <si>
    <t xml:space="preserve">Material (CPS 230)?</t>
  </si>
  <si>
    <t xml:space="preserve">Data Sensitivity</t>
  </si>
  <si>
    <t xml:space="preserve">Service Location / Residency</t>
  </si>
  <si>
    <t xml:space="preserve">Offshore Sensitive Data?</t>
  </si>
  <si>
    <t xml:space="preserve">FOCI / Vendor of Concern</t>
  </si>
  <si>
    <t xml:space="preserve">4th-Party Reliance</t>
  </si>
  <si>
    <t xml:space="preserve">Concentration Risk</t>
  </si>
  <si>
    <t xml:space="preserve">APRA Access &amp; Audit (Contract)</t>
  </si>
  <si>
    <t xml:space="preserve">BCP &amp; Exit (Contract)</t>
  </si>
  <si>
    <t xml:space="preserve">Assurance Held</t>
  </si>
  <si>
    <t xml:space="preserve">Inherent Risk</t>
  </si>
  <si>
    <t xml:space="preserve">Residual Risk</t>
  </si>
  <si>
    <t xml:space="preserve">Key Gap / Action</t>
  </si>
  <si>
    <t xml:space="preserve">Owner</t>
  </si>
  <si>
    <t xml:space="preserve">Next Review</t>
  </si>
  <si>
    <t xml:space="preserve">MSP-01</t>
  </si>
  <si>
    <t xml:space="preserve">Core banking platform provider</t>
  </si>
  <si>
    <t xml:space="preserve">Core banking ledger &amp; processing (SaaS)</t>
  </si>
  <si>
    <t xml:space="preserve">Y</t>
  </si>
  <si>
    <t xml:space="preserve">Deposit-taking; payments</t>
  </si>
  <si>
    <t xml:space="preserve">High</t>
  </si>
  <si>
    <t xml:space="preserve">Onshore (AU regions)</t>
  </si>
  <si>
    <t xml:space="preserve">N</t>
  </si>
  <si>
    <t xml:space="preserve">Assess (global vendor)</t>
  </si>
  <si>
    <t xml:space="preserve">Hyperscaler sub-hosting</t>
  </si>
  <si>
    <t xml:space="preserve">Partial</t>
  </si>
  <si>
    <t xml:space="preserve">SOC 2 Type II; ISO 27001</t>
  </si>
  <si>
    <t xml:space="preserve">Strengthen exit/portability plan; confirm AU data residency for sensitive operational info.</t>
  </si>
  <si>
    <t xml:space="preserve">Head of Third-Party Risk</t>
  </si>
  <si>
    <t xml:space="preserve">Sep 2026</t>
  </si>
  <si>
    <t xml:space="preserve">MSP-02</t>
  </si>
  <si>
    <t xml:space="preserve">Cloud infrastructure provider</t>
  </si>
  <si>
    <t xml:space="preserve">IaaS/PaaS hosting the core platform</t>
  </si>
  <si>
    <t xml:space="preserve">Payments; internet banking</t>
  </si>
  <si>
    <t xml:space="preserve">Onshore primary; offshore DR region</t>
  </si>
  <si>
    <t xml:space="preserve">Assess (foreign-owned)</t>
  </si>
  <si>
    <t xml:space="preserve">Foundational</t>
  </si>
  <si>
    <t xml:space="preserve">SOC 2; ISO 27001; IRAP</t>
  </si>
  <si>
    <t xml:space="preserve">Constrain DR to AU region for sensitive data; document multi-region exit plan (SUP-01).</t>
  </si>
  <si>
    <t xml:space="preserve">MSP-03</t>
  </si>
  <si>
    <t xml:space="preserve">Payments switch / NPP connectivity</t>
  </si>
  <si>
    <t xml:space="preserve">Payment processing &amp; clearing connectivity</t>
  </si>
  <si>
    <t xml:space="preserve">Payments and settlement</t>
  </si>
  <si>
    <t xml:space="preserve">Onshore (AU)</t>
  </si>
  <si>
    <t xml:space="preserve">Scheme operators</t>
  </si>
  <si>
    <t xml:space="preserve">SOC 2</t>
  </si>
  <si>
    <t xml:space="preserve">Medium</t>
  </si>
  <si>
    <t xml:space="preserve">Build processor-outage BCP and assess an alternate provider (SUP-02).</t>
  </si>
  <si>
    <t xml:space="preserve">Head of Payments</t>
  </si>
  <si>
    <t xml:space="preserve">MSP-04</t>
  </si>
  <si>
    <t xml:space="preserve">Fraud &amp; transaction monitoring SaaS</t>
  </si>
  <si>
    <t xml:space="preserve">Real-time fraud detection &amp; monitoring</t>
  </si>
  <si>
    <t xml:space="preserve">Fraud detection and transaction monitoring</t>
  </si>
  <si>
    <t xml:space="preserve">Onshore; model processing offshore</t>
  </si>
  <si>
    <t xml:space="preserve">Assess</t>
  </si>
  <si>
    <t xml:space="preserve">Cloud provider</t>
  </si>
  <si>
    <t xml:space="preserve">Confirm data residency; add APRA access &amp; audit clause at renewal.</t>
  </si>
  <si>
    <t xml:space="preserve">CISO</t>
  </si>
  <si>
    <t xml:space="preserve">MSP-05</t>
  </si>
  <si>
    <t xml:space="preserve">Managed security services (MSSP/SOC)</t>
  </si>
  <si>
    <t xml:space="preserve">24x7 monitoring &amp; incident response</t>
  </si>
  <si>
    <t xml:space="preserve">All (security of critical ops)</t>
  </si>
  <si>
    <t xml:space="preserve">High (privileged access)</t>
  </si>
  <si>
    <t xml:space="preserve">Onshore; follow-the-sun offshore analysts</t>
  </si>
  <si>
    <t xml:space="preserve">Tooling vendors</t>
  </si>
  <si>
    <t xml:space="preserve">ISO 27001; SOC 2</t>
  </si>
  <si>
    <t xml:space="preserve">Restrict offshore privileged access; apply geofencing and session recording.</t>
  </si>
  <si>
    <t xml:space="preserve">MSP-06</t>
  </si>
  <si>
    <t xml:space="preserve">Offshore BPO / contact centre</t>
  </si>
  <si>
    <t xml:space="preserve">Member servicing &amp; back-office</t>
  </si>
  <si>
    <t xml:space="preserve">Customer enquiries</t>
  </si>
  <si>
    <t xml:space="preserve">High (member PII)</t>
  </si>
  <si>
    <t xml:space="preserve">Offshore (PH / IN)</t>
  </si>
  <si>
    <t xml:space="preserve">Local staffing agency</t>
  </si>
  <si>
    <t xml:space="preserve">ISO 27001</t>
  </si>
  <si>
    <t xml:space="preserve">Minimise PII offshore; tighten access; align to AusCheck-style screening (PER-02).</t>
  </si>
  <si>
    <t xml:space="preserve">Chief Operating Officer</t>
  </si>
  <si>
    <t xml:space="preserve">MSP-07</t>
  </si>
  <si>
    <t xml:space="preserve">Identity verification / KYC provider</t>
  </si>
  <si>
    <t xml:space="preserve">Electronic ID verification &amp; AML checks</t>
  </si>
  <si>
    <t xml:space="preserve">Deposit-taking (onboarding)</t>
  </si>
  <si>
    <t xml:space="preserve">High (PII)</t>
  </si>
  <si>
    <t xml:space="preserve">Data bureaus</t>
  </si>
  <si>
    <t xml:space="preserve">Low</t>
  </si>
  <si>
    <t xml:space="preserve">Add APRA access &amp; audit clause at next renewal.</t>
  </si>
  <si>
    <t xml:space="preserve">Head of Financial Crime</t>
  </si>
  <si>
    <t xml:space="preserve">MSP-08</t>
  </si>
  <si>
    <t xml:space="preserve">Data centre / colocation provider</t>
  </si>
  <si>
    <t xml:space="preserve">Primary &amp; DR facility hosting</t>
  </si>
  <si>
    <t xml:space="preserve">Payments; on-premises systems</t>
  </si>
  <si>
    <t xml:space="preserve">Onshore (AU; separate DR)</t>
  </si>
  <si>
    <t xml:space="preserve">Facilities services</t>
  </si>
  <si>
    <t xml:space="preserve">ISO 27001; certified facility</t>
  </si>
  <si>
    <t xml:space="preserve">Verify geographic separation of primary and DR sites (PHY-04).</t>
  </si>
  <si>
    <t xml:space="preserve">Head of Infrastructure</t>
  </si>
  <si>
    <t xml:space="preserve">MSP-09</t>
  </si>
  <si>
    <t xml:space="preserve">Telecommunications / network provider</t>
  </si>
  <si>
    <t xml:space="preserve">WAN &amp; internet connectivity</t>
  </si>
  <si>
    <t xml:space="preserve">Internet and mobile banking</t>
  </si>
  <si>
    <t xml:space="preserve">Carrier network</t>
  </si>
  <si>
    <t xml:space="preserve">Carrier-grade</t>
  </si>
  <si>
    <t xml:space="preserve">Validate diverse-path redundancy and failover.</t>
  </si>
  <si>
    <t xml:space="preserve">MSP-10</t>
  </si>
  <si>
    <t xml:space="preserve">Statement print &amp; mail house</t>
  </si>
  <si>
    <t xml:space="preserve">Member statement production &amp; dispatch</t>
  </si>
  <si>
    <t xml:space="preserve">N/A</t>
  </si>
  <si>
    <t xml:space="preserve">Medium (PII)</t>
  </si>
  <si>
    <t xml:space="preserve">Logistics</t>
  </si>
  <si>
    <t xml:space="preserve">Strengthen data-handling clauses and secure-destruction evidence.</t>
  </si>
  <si>
    <t xml:space="preserve">Head of Operations</t>
  </si>
  <si>
    <t xml:space="preserve">MSP-11</t>
  </si>
  <si>
    <t xml:space="preserve">Marketing / CRM SaaS</t>
  </si>
  <si>
    <t xml:space="preserve">Campaign management &amp; CRM</t>
  </si>
  <si>
    <t xml:space="preserve">Medium (marketing PII)</t>
  </si>
  <si>
    <t xml:space="preserve">Offshore (US)</t>
  </si>
  <si>
    <t xml:space="preserve">Apply data minimisation; monitor for any shift into the critical path.</t>
  </si>
  <si>
    <t xml:space="preserve">Head of Marketing</t>
  </si>
  <si>
    <t xml:space="preserve">Tasman Mutual Bank — CPS 230 ↔ SoCI Supply-Chain Cross-map</t>
  </si>
  <si>
    <t xml:space="preserve">Document 4  |  Where the two regimes converge, what each adds, and TMB’s status</t>
  </si>
  <si>
    <t xml:space="preserve">CPS 230 service provider obligation</t>
  </si>
  <si>
    <t xml:space="preserve">SoCI CIRMP supply-chain (s10 / draft)</t>
  </si>
  <si>
    <t xml:space="preserve">Convergence / what each adds</t>
  </si>
  <si>
    <t xml:space="preserve">TMB status &amp; action</t>
  </si>
  <si>
    <t xml:space="preserve">Identify and classify material service providers.</t>
  </si>
  <si>
    <t xml:space="preserve">Identify supply-chain hazards posing a material risk to the asset.</t>
  </si>
  <si>
    <t xml:space="preserve">A single materiality / tiering exercise satisfies both.</t>
  </si>
  <si>
    <t xml:space="preserve">Done — providers tiered in the MSP register.</t>
  </si>
  <si>
    <t xml:space="preserve">Maintain a register of MSPs and submit it to APRA.</t>
  </si>
  <si>
    <t xml:space="preserve">Map supply-chain dependencies (draft amendment).</t>
  </si>
  <si>
    <t xml:space="preserve">The CPS 230 register doubles as the SoCI dependency map.</t>
  </si>
  <si>
    <t xml:space="preserve">Done — this register is the shared artefact.</t>
  </si>
  <si>
    <t xml:space="preserve">Formal agreements incl. APRA access and audit rights.</t>
  </si>
  <si>
    <t xml:space="preserve">Contractual measures to mitigate supply-chain hazards.</t>
  </si>
  <si>
    <t xml:space="preserve">Align one set of contract clauses to both regimes.</t>
  </si>
  <si>
    <t xml:space="preserve">Partial — gaps at MSP-04, 06, 07, 10; remediate at renewal.</t>
  </si>
  <si>
    <t xml:space="preserve">BCP and exit provisions for material arrangements.</t>
  </si>
  <si>
    <t xml:space="preserve">Minimise / mitigate the impact of a supply-chain hazard.</t>
  </si>
  <si>
    <t xml:space="preserve">BCP and exit planning close both obligations.</t>
  </si>
  <si>
    <t xml:space="preserve">Partial — core &amp; cloud exit plans outstanding (SUP-01/02).</t>
  </si>
  <si>
    <t xml:space="preserve">Manage fourth-party / sub-contractor risk.</t>
  </si>
  <si>
    <t xml:space="preserve">Identify and manage supply-chain vulnerabilities incl. nth-party (draft).</t>
  </si>
  <si>
    <t xml:space="preserve">Map material subcontractors once for both.</t>
  </si>
  <si>
    <t xml:space="preserve">Gap — nth-party mapping incomplete (SUP-03).</t>
  </si>
  <si>
    <t xml:space="preserve">Due diligence before onboarding / material change; ongoing monitoring.</t>
  </si>
  <si>
    <t xml:space="preserve">Process to identify and manage supply-chain material risks.</t>
  </si>
  <si>
    <t xml:space="preserve">Unified due-diligence questionnaire and review cycle.</t>
  </si>
  <si>
    <t xml:space="preserve">In place — questionnaire + periodic review per tier.</t>
  </si>
  <si>
    <t xml:space="preserve">Notify APRA within 20 business days of a new/changed MSP arrangement for a critical operation.</t>
  </si>
  <si>
    <t xml:space="preserve">Material-change governance for supply-chain dependencies.</t>
  </si>
  <si>
    <t xml:space="preserve">One notification trigger and governance path.</t>
  </si>
  <si>
    <t xml:space="preserve">In place — notification process defined.</t>
  </si>
  <si>
    <t xml:space="preserve">Consider concentration risk (CPG 230).</t>
  </si>
  <si>
    <t xml:space="preserve">Dependency concentration as a material risk.</t>
  </si>
  <si>
    <t xml:space="preserve">Single concentration analysis across providers.</t>
  </si>
  <si>
    <t xml:space="preserve">Flagged — cloud / processor concentration High (SUP-01).</t>
  </si>
  <si>
    <t xml:space="preserve">No explicit FOCI requirement.</t>
  </si>
  <si>
    <t xml:space="preserve">Manage vendors of concern linked to Foreign Ownership, Control or Influence (draft).</t>
  </si>
  <si>
    <t xml:space="preserve">SoCI adds a national-security lens CPS 230 does not.</t>
  </si>
  <si>
    <t xml:space="preserve">Action — FOCI assessment of flagged providers (see FOCI tab).</t>
  </si>
  <si>
    <t xml:space="preserve">Offshoring managed via operational-risk and data controls.</t>
  </si>
  <si>
    <t xml:space="preserve">Storage / processing of sensitive operational information outside Australia is a SoCI material risk.</t>
  </si>
  <si>
    <t xml:space="preserve">SoCI adds an explicit data-sovereignty trigger.</t>
  </si>
  <si>
    <t xml:space="preserve">Flagged — 5 providers with offshore sensitive-data exposure.</t>
  </si>
  <si>
    <t xml:space="preserve">Tasman Mutual Bank — FOCI &amp; Offshore-Processing Assessment</t>
  </si>
  <si>
    <t xml:space="preserve">Document 4  |  Vendor-of-concern and overseas sensitive-data review (SoCI draft amendments)</t>
  </si>
  <si>
    <t xml:space="preserve">Provider</t>
  </si>
  <si>
    <t xml:space="preserve">Offshore element</t>
  </si>
  <si>
    <t xml:space="preserve">FOCI consideration</t>
  </si>
  <si>
    <t xml:space="preserve">Sensitive operational info exposed?</t>
  </si>
  <si>
    <t xml:space="preserve">National-security / sovereignty risk</t>
  </si>
  <si>
    <t xml:space="preserve">Mitigations</t>
  </si>
  <si>
    <t xml:space="preserve">Residual</t>
  </si>
  <si>
    <t xml:space="preserve">Action</t>
  </si>
  <si>
    <t xml:space="preserve">MSP-01 Core banking platform</t>
  </si>
  <si>
    <t xml:space="preserve">Globally headquartered vendor; AU-region hosting</t>
  </si>
  <si>
    <t xml:space="preserve">Foreign-headquartered; assess ownership &amp; control of support/admin paths.</t>
  </si>
  <si>
    <t xml:space="preserve">Y – core ledger &amp; member data</t>
  </si>
  <si>
    <t xml:space="preserve">Contractual AU-residency; restricted offshore admin access; audit rights.</t>
  </si>
  <si>
    <t xml:space="preserve">Confirm AU data residency; document support-access controls.</t>
  </si>
  <si>
    <t xml:space="preserve">MSP-02 Cloud infrastructure</t>
  </si>
  <si>
    <t xml:space="preserve">Foreign-owned hyperscaler; offshore DR region</t>
  </si>
  <si>
    <t xml:space="preserve">Foreign ownership; influence via foreign legal jurisdiction over data.</t>
  </si>
  <si>
    <t xml:space="preserve">Y – hosts core platform &amp; data</t>
  </si>
  <si>
    <t xml:space="preserve">IRAP-assessed; AU primary region; encryption with AU-held keys.</t>
  </si>
  <si>
    <t xml:space="preserve">Constrain DR to AU region for sensitive operational info.</t>
  </si>
  <si>
    <t xml:space="preserve">MSP-04 Fraud monitoring SaaS</t>
  </si>
  <si>
    <t xml:space="preserve">Model processing in offshore cloud region</t>
  </si>
  <si>
    <t xml:space="preserve">Assess vendor ownership and offshore processing jurisdiction.</t>
  </si>
  <si>
    <t xml:space="preserve">Y – transaction data</t>
  </si>
  <si>
    <t xml:space="preserve">Tokenisation; contractual data-handling limits.</t>
  </si>
  <si>
    <t xml:space="preserve">Confirm residency; add APRA access clause.</t>
  </si>
  <si>
    <t xml:space="preserve">MSP-05 MSSP / SOC</t>
  </si>
  <si>
    <t xml:space="preserve">Follow-the-sun offshore analysts with privileged access</t>
  </si>
  <si>
    <t xml:space="preserve">Assess offshore personnel access to the asset.</t>
  </si>
  <si>
    <t xml:space="preserve">Y – privileged monitoring access</t>
  </si>
  <si>
    <t xml:space="preserve">Geofencing; session recording; least privilege; AU-based escalation.</t>
  </si>
  <si>
    <t xml:space="preserve">Restrict offshore privileged access; review periodically.</t>
  </si>
  <si>
    <t xml:space="preserve">MSP-06 Offshore BPO</t>
  </si>
  <si>
    <t xml:space="preserve">Member servicing performed offshore</t>
  </si>
  <si>
    <t xml:space="preserve">Offshore workforce handling member PII.</t>
  </si>
  <si>
    <t xml:space="preserve">Y – member PII</t>
  </si>
  <si>
    <t xml:space="preserve">Data minimisation; masked views; access logging; screening.</t>
  </si>
  <si>
    <t xml:space="preserve">Reduce PII sent offshore; align screening to AusCheck-style.</t>
  </si>
  <si>
    <t xml:space="preserve">MSP-11 Marketing / CRM SaaS</t>
  </si>
  <si>
    <t xml:space="preserve">US-hosted marketing data</t>
  </si>
  <si>
    <t xml:space="preserve">Foreign jurisdiction over marketing PII.</t>
  </si>
  <si>
    <t xml:space="preserve">Limited – marketing PII only</t>
  </si>
  <si>
    <t xml:space="preserve">Data minimisation; no sensitive operational info.</t>
  </si>
  <si>
    <t xml:space="preserve">Monitor; keep out of the critical path.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</si>
</sst>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11"/>
      <color rgb="FF2E405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9"/>
      </font>
      <fill>
        <patternFill>
          <bgColor rgb="FFC00000"/>
        </patternFill>
      </fill>
    </dxf>
    <dxf>
      <font>
        <name val="Arial"/>
        <charset val="1"/>
        <family val="0"/>
        <color rgb="FF000000"/>
        <sz val="9"/>
      </font>
      <fill>
        <patternFill>
          <bgColor rgb="FFFFD966"/>
        </patternFill>
      </fill>
    </dxf>
    <dxf>
      <font>
        <name val="Arial"/>
        <charset val="1"/>
        <family val="0"/>
        <color rgb="FF000000"/>
        <sz val="9"/>
      </font>
      <fill>
        <patternFill>
          <bgColor rgb="FF92D050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42"/>
    <col collapsed="false" customWidth="true" hidden="false" outlineLevel="0" max="8" min="4" style="0" width="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4</v>
      </c>
    </row>
    <row r="9" customFormat="false" ht="15" hidden="false" customHeight="true" outlineLevel="0" collapsed="false">
      <c r="A9" s="4" t="s">
        <v>5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A12" s="5" t="s">
        <v>6</v>
      </c>
    </row>
    <row r="13" customFormat="false" ht="15" hidden="false" customHeight="false" outlineLevel="0" collapsed="false">
      <c r="A13" s="6" t="s">
        <v>7</v>
      </c>
      <c r="B13" s="6" t="s">
        <v>8</v>
      </c>
      <c r="C13" s="6" t="s">
        <v>9</v>
      </c>
    </row>
    <row r="14" customFormat="false" ht="23.85" hidden="false" customHeight="false" outlineLevel="0" collapsed="false">
      <c r="A14" s="7" t="s">
        <v>10</v>
      </c>
      <c r="B14" s="7" t="s">
        <v>11</v>
      </c>
      <c r="C14" s="7" t="s">
        <v>12</v>
      </c>
    </row>
    <row r="15" customFormat="false" ht="23.85" hidden="false" customHeight="false" outlineLevel="0" collapsed="false">
      <c r="A15" s="7" t="s">
        <v>13</v>
      </c>
      <c r="B15" s="7" t="s">
        <v>14</v>
      </c>
      <c r="C15" s="7" t="s">
        <v>15</v>
      </c>
    </row>
    <row r="16" customFormat="false" ht="23.85" hidden="false" customHeight="false" outlineLevel="0" collapsed="false">
      <c r="A16" s="7" t="s">
        <v>16</v>
      </c>
      <c r="B16" s="7" t="s">
        <v>17</v>
      </c>
      <c r="C16" s="7" t="s">
        <v>18</v>
      </c>
    </row>
    <row r="18" customFormat="false" ht="15" hidden="false" customHeight="false" outlineLevel="0" collapsed="false">
      <c r="A18" s="5" t="s">
        <v>19</v>
      </c>
    </row>
    <row r="19" customFormat="false" ht="15" hidden="false" customHeight="false" outlineLevel="0" collapsed="false">
      <c r="A19" s="8" t="s">
        <v>20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 t="s">
        <v>21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 t="s">
        <v>22</v>
      </c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 t="s">
        <v>23</v>
      </c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 t="s">
        <v>24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 t="s">
        <v>25</v>
      </c>
      <c r="B24" s="8"/>
      <c r="C24" s="8"/>
      <c r="D24" s="8"/>
      <c r="E24" s="8"/>
      <c r="F24" s="8"/>
      <c r="G24" s="8"/>
      <c r="H24" s="8"/>
    </row>
    <row r="26" customFormat="false" ht="15" hidden="false" customHeight="false" outlineLevel="0" collapsed="false">
      <c r="A26" s="5" t="s">
        <v>26</v>
      </c>
    </row>
    <row r="27" customFormat="false" ht="15" hidden="false" customHeight="true" outlineLevel="0" collapsed="false">
      <c r="A27" s="9" t="s">
        <v>27</v>
      </c>
      <c r="B27" s="9"/>
      <c r="C27" s="9"/>
      <c r="D27" s="9"/>
      <c r="E27" s="9"/>
      <c r="F27" s="9"/>
      <c r="G27" s="9"/>
      <c r="H27" s="9"/>
    </row>
    <row r="29" customFormat="false" ht="15" hidden="false" customHeight="true" outlineLevel="0" collapsed="false">
      <c r="A29" s="9" t="s">
        <v>28</v>
      </c>
      <c r="B29" s="9"/>
      <c r="C29" s="9"/>
      <c r="D29" s="9"/>
      <c r="E29" s="9"/>
      <c r="F29" s="9"/>
      <c r="G29" s="9"/>
      <c r="H29" s="9"/>
    </row>
    <row r="31" customFormat="false" ht="15" hidden="false" customHeight="true" outlineLevel="0" collapsed="false">
      <c r="A31" s="9" t="s">
        <v>29</v>
      </c>
      <c r="B31" s="9"/>
      <c r="C31" s="9"/>
      <c r="D31" s="9"/>
      <c r="E31" s="9"/>
      <c r="F31" s="9"/>
      <c r="G31" s="9"/>
      <c r="H31" s="9"/>
    </row>
    <row r="34" customFormat="false" ht="15" hidden="false" customHeight="false" outlineLevel="0" collapsed="false">
      <c r="A34" s="5" t="s">
        <v>30</v>
      </c>
    </row>
    <row r="35" customFormat="false" ht="15" hidden="false" customHeight="false" outlineLevel="0" collapsed="false">
      <c r="A35" s="6" t="s">
        <v>31</v>
      </c>
      <c r="B35" s="6" t="s">
        <v>32</v>
      </c>
    </row>
    <row r="36" customFormat="false" ht="15" hidden="false" customHeight="false" outlineLevel="0" collapsed="false">
      <c r="A36" s="10" t="s">
        <v>33</v>
      </c>
      <c r="B36" s="11" t="n">
        <f aca="false">COUNTIF('MSP Register'!$F$5:$F$15,"Tier 1*")</f>
        <v>5</v>
      </c>
    </row>
    <row r="37" customFormat="false" ht="15" hidden="false" customHeight="false" outlineLevel="0" collapsed="false">
      <c r="A37" s="10" t="s">
        <v>34</v>
      </c>
      <c r="B37" s="11" t="n">
        <f aca="false">COUNTIF('MSP Register'!$F$5:$F$15,"Tier 2*")</f>
        <v>5</v>
      </c>
    </row>
    <row r="38" customFormat="false" ht="15" hidden="false" customHeight="false" outlineLevel="0" collapsed="false">
      <c r="A38" s="10" t="s">
        <v>35</v>
      </c>
      <c r="B38" s="11" t="n">
        <f aca="false">COUNTIF('MSP Register'!$G$5:$G$15,"Yes")</f>
        <v>10</v>
      </c>
    </row>
    <row r="39" customFormat="false" ht="15" hidden="false" customHeight="false" outlineLevel="0" collapsed="false">
      <c r="A39" s="10" t="s">
        <v>36</v>
      </c>
      <c r="B39" s="11" t="n">
        <f aca="false">COUNTIF('MSP Register'!$J$5:$J$15,"Y")</f>
        <v>5</v>
      </c>
    </row>
    <row r="40" customFormat="false" ht="15" hidden="false" customHeight="false" outlineLevel="0" collapsed="false">
      <c r="A40" s="10" t="s">
        <v>37</v>
      </c>
      <c r="B40" s="11" t="n">
        <f aca="false">COUNTIF('MSP Register'!$K$5:$K$15,"Assess")</f>
        <v>3</v>
      </c>
    </row>
    <row r="41" customFormat="false" ht="15" hidden="false" customHeight="false" outlineLevel="0" collapsed="false">
      <c r="A41" s="10" t="s">
        <v>38</v>
      </c>
      <c r="B41" s="11" t="n">
        <f aca="false">COUNTIF('MSP Register'!$R$5:$R$15,"High")</f>
        <v>2</v>
      </c>
    </row>
    <row r="43" customFormat="false" ht="15" hidden="false" customHeight="false" outlineLevel="0" collapsed="false">
      <c r="A43" s="12" t="s">
        <v>39</v>
      </c>
      <c r="B43" s="12"/>
      <c r="C43" s="12"/>
      <c r="D43" s="12"/>
      <c r="E43" s="12"/>
      <c r="F43" s="12"/>
      <c r="G43" s="12"/>
      <c r="H43" s="12"/>
    </row>
  </sheetData>
  <mergeCells count="12">
    <mergeCell ref="A5:H6"/>
    <mergeCell ref="A9:H10"/>
    <mergeCell ref="A19:H19"/>
    <mergeCell ref="A20:H20"/>
    <mergeCell ref="A21:H21"/>
    <mergeCell ref="A22:H22"/>
    <mergeCell ref="A23:H23"/>
    <mergeCell ref="A24:H24"/>
    <mergeCell ref="A27:H27"/>
    <mergeCell ref="A29:H29"/>
    <mergeCell ref="A31:H31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8" min="17" style="0" width="9"/>
    <col collapsed="false" customWidth="true" hidden="false" outlineLevel="0" max="19" min="19" style="0" width="40"/>
    <col collapsed="false" customWidth="true" hidden="false" outlineLevel="0" max="20" min="20" style="0" width="22"/>
    <col collapsed="false" customWidth="true" hidden="false" outlineLevel="0" max="21" min="21" style="0" width="10"/>
  </cols>
  <sheetData>
    <row r="1" customFormat="false" ht="18.5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2.8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7</v>
      </c>
      <c r="G4" s="6" t="s">
        <v>47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  <c r="M4" s="6" t="s">
        <v>53</v>
      </c>
      <c r="N4" s="6" t="s">
        <v>54</v>
      </c>
      <c r="O4" s="6" t="s">
        <v>55</v>
      </c>
      <c r="P4" s="6" t="s">
        <v>56</v>
      </c>
      <c r="Q4" s="6" t="s">
        <v>57</v>
      </c>
      <c r="R4" s="6" t="s">
        <v>58</v>
      </c>
      <c r="S4" s="6" t="s">
        <v>59</v>
      </c>
      <c r="T4" s="6" t="s">
        <v>60</v>
      </c>
      <c r="U4" s="6" t="s">
        <v>61</v>
      </c>
    </row>
    <row r="5" customFormat="false" ht="22.35" hidden="false" customHeight="false" outlineLevel="0" collapsed="false">
      <c r="A5" s="13" t="s">
        <v>62</v>
      </c>
      <c r="B5" s="14" t="s">
        <v>63</v>
      </c>
      <c r="C5" s="14" t="s">
        <v>64</v>
      </c>
      <c r="D5" s="13" t="s">
        <v>65</v>
      </c>
      <c r="E5" s="14" t="s">
        <v>66</v>
      </c>
      <c r="F5" s="13" t="s">
        <v>10</v>
      </c>
      <c r="G5" s="13" t="str">
        <f aca="false">IF(OR(LEFT(F5,6)="Tier 1",LEFT(F5,6)="Tier 2"),"Yes","No")</f>
        <v>Yes</v>
      </c>
      <c r="H5" s="13" t="s">
        <v>67</v>
      </c>
      <c r="I5" s="14" t="s">
        <v>68</v>
      </c>
      <c r="J5" s="13" t="s">
        <v>69</v>
      </c>
      <c r="K5" s="13" t="s">
        <v>70</v>
      </c>
      <c r="L5" s="14" t="s">
        <v>71</v>
      </c>
      <c r="M5" s="13" t="s">
        <v>67</v>
      </c>
      <c r="N5" s="13" t="s">
        <v>65</v>
      </c>
      <c r="O5" s="13" t="s">
        <v>72</v>
      </c>
      <c r="P5" s="14" t="s">
        <v>73</v>
      </c>
      <c r="Q5" s="13" t="s">
        <v>67</v>
      </c>
      <c r="R5" s="13" t="s">
        <v>67</v>
      </c>
      <c r="S5" s="14" t="s">
        <v>74</v>
      </c>
      <c r="T5" s="14" t="s">
        <v>75</v>
      </c>
      <c r="U5" s="13" t="s">
        <v>76</v>
      </c>
    </row>
    <row r="6" customFormat="false" ht="22.35" hidden="false" customHeight="false" outlineLevel="0" collapsed="false">
      <c r="A6" s="13" t="s">
        <v>77</v>
      </c>
      <c r="B6" s="14" t="s">
        <v>78</v>
      </c>
      <c r="C6" s="14" t="s">
        <v>79</v>
      </c>
      <c r="D6" s="13" t="s">
        <v>65</v>
      </c>
      <c r="E6" s="14" t="s">
        <v>80</v>
      </c>
      <c r="F6" s="13" t="s">
        <v>10</v>
      </c>
      <c r="G6" s="13" t="str">
        <f aca="false">IF(OR(LEFT(F6,6)="Tier 1",LEFT(F6,6)="Tier 2"),"Yes","No")</f>
        <v>Yes</v>
      </c>
      <c r="H6" s="13" t="s">
        <v>67</v>
      </c>
      <c r="I6" s="14" t="s">
        <v>81</v>
      </c>
      <c r="J6" s="13" t="s">
        <v>65</v>
      </c>
      <c r="K6" s="13" t="s">
        <v>82</v>
      </c>
      <c r="L6" s="14" t="s">
        <v>83</v>
      </c>
      <c r="M6" s="13" t="s">
        <v>67</v>
      </c>
      <c r="N6" s="13" t="s">
        <v>65</v>
      </c>
      <c r="O6" s="13" t="s">
        <v>72</v>
      </c>
      <c r="P6" s="14" t="s">
        <v>84</v>
      </c>
      <c r="Q6" s="13" t="s">
        <v>67</v>
      </c>
      <c r="R6" s="13" t="s">
        <v>67</v>
      </c>
      <c r="S6" s="14" t="s">
        <v>85</v>
      </c>
      <c r="T6" s="14" t="s">
        <v>75</v>
      </c>
      <c r="U6" s="13" t="s">
        <v>76</v>
      </c>
    </row>
    <row r="7" customFormat="false" ht="22.35" hidden="false" customHeight="false" outlineLevel="0" collapsed="false">
      <c r="A7" s="13" t="s">
        <v>86</v>
      </c>
      <c r="B7" s="14" t="s">
        <v>87</v>
      </c>
      <c r="C7" s="14" t="s">
        <v>88</v>
      </c>
      <c r="D7" s="13" t="s">
        <v>65</v>
      </c>
      <c r="E7" s="14" t="s">
        <v>89</v>
      </c>
      <c r="F7" s="13" t="s">
        <v>10</v>
      </c>
      <c r="G7" s="13" t="str">
        <f aca="false">IF(OR(LEFT(F7,6)="Tier 1",LEFT(F7,6)="Tier 2"),"Yes","No")</f>
        <v>Yes</v>
      </c>
      <c r="H7" s="13" t="s">
        <v>67</v>
      </c>
      <c r="I7" s="14" t="s">
        <v>90</v>
      </c>
      <c r="J7" s="13" t="s">
        <v>69</v>
      </c>
      <c r="K7" s="13" t="s">
        <v>69</v>
      </c>
      <c r="L7" s="14" t="s">
        <v>91</v>
      </c>
      <c r="M7" s="13" t="s">
        <v>67</v>
      </c>
      <c r="N7" s="13" t="s">
        <v>65</v>
      </c>
      <c r="O7" s="13" t="s">
        <v>65</v>
      </c>
      <c r="P7" s="14" t="s">
        <v>92</v>
      </c>
      <c r="Q7" s="13" t="s">
        <v>67</v>
      </c>
      <c r="R7" s="13" t="s">
        <v>93</v>
      </c>
      <c r="S7" s="14" t="s">
        <v>94</v>
      </c>
      <c r="T7" s="14" t="s">
        <v>95</v>
      </c>
      <c r="U7" s="13" t="s">
        <v>76</v>
      </c>
    </row>
    <row r="8" customFormat="false" ht="22.35" hidden="false" customHeight="false" outlineLevel="0" collapsed="false">
      <c r="A8" s="13" t="s">
        <v>96</v>
      </c>
      <c r="B8" s="14" t="s">
        <v>97</v>
      </c>
      <c r="C8" s="14" t="s">
        <v>98</v>
      </c>
      <c r="D8" s="13" t="s">
        <v>65</v>
      </c>
      <c r="E8" s="14" t="s">
        <v>99</v>
      </c>
      <c r="F8" s="13" t="s">
        <v>10</v>
      </c>
      <c r="G8" s="13" t="str">
        <f aca="false">IF(OR(LEFT(F8,6)="Tier 1",LEFT(F8,6)="Tier 2"),"Yes","No")</f>
        <v>Yes</v>
      </c>
      <c r="H8" s="13" t="s">
        <v>67</v>
      </c>
      <c r="I8" s="14" t="s">
        <v>100</v>
      </c>
      <c r="J8" s="13" t="s">
        <v>65</v>
      </c>
      <c r="K8" s="13" t="s">
        <v>101</v>
      </c>
      <c r="L8" s="14" t="s">
        <v>102</v>
      </c>
      <c r="M8" s="13" t="s">
        <v>93</v>
      </c>
      <c r="N8" s="13" t="s">
        <v>72</v>
      </c>
      <c r="O8" s="13" t="s">
        <v>72</v>
      </c>
      <c r="P8" s="14" t="s">
        <v>92</v>
      </c>
      <c r="Q8" s="13" t="s">
        <v>67</v>
      </c>
      <c r="R8" s="13" t="s">
        <v>93</v>
      </c>
      <c r="S8" s="14" t="s">
        <v>103</v>
      </c>
      <c r="T8" s="14" t="s">
        <v>104</v>
      </c>
      <c r="U8" s="13" t="s">
        <v>76</v>
      </c>
    </row>
    <row r="9" customFormat="false" ht="22.35" hidden="false" customHeight="false" outlineLevel="0" collapsed="false">
      <c r="A9" s="13" t="s">
        <v>105</v>
      </c>
      <c r="B9" s="14" t="s">
        <v>106</v>
      </c>
      <c r="C9" s="14" t="s">
        <v>107</v>
      </c>
      <c r="D9" s="13" t="s">
        <v>65</v>
      </c>
      <c r="E9" s="14" t="s">
        <v>108</v>
      </c>
      <c r="F9" s="13" t="s">
        <v>13</v>
      </c>
      <c r="G9" s="13" t="str">
        <f aca="false">IF(OR(LEFT(F9,6)="Tier 1",LEFT(F9,6)="Tier 2"),"Yes","No")</f>
        <v>Yes</v>
      </c>
      <c r="H9" s="13" t="s">
        <v>109</v>
      </c>
      <c r="I9" s="14" t="s">
        <v>110</v>
      </c>
      <c r="J9" s="13" t="s">
        <v>65</v>
      </c>
      <c r="K9" s="13" t="s">
        <v>101</v>
      </c>
      <c r="L9" s="14" t="s">
        <v>111</v>
      </c>
      <c r="M9" s="13" t="s">
        <v>93</v>
      </c>
      <c r="N9" s="13" t="s">
        <v>65</v>
      </c>
      <c r="O9" s="13" t="s">
        <v>65</v>
      </c>
      <c r="P9" s="14" t="s">
        <v>112</v>
      </c>
      <c r="Q9" s="13" t="s">
        <v>67</v>
      </c>
      <c r="R9" s="13" t="s">
        <v>93</v>
      </c>
      <c r="S9" s="14" t="s">
        <v>113</v>
      </c>
      <c r="T9" s="14" t="s">
        <v>104</v>
      </c>
      <c r="U9" s="13" t="s">
        <v>76</v>
      </c>
    </row>
    <row r="10" customFormat="false" ht="22.35" hidden="false" customHeight="false" outlineLevel="0" collapsed="false">
      <c r="A10" s="13" t="s">
        <v>114</v>
      </c>
      <c r="B10" s="14" t="s">
        <v>115</v>
      </c>
      <c r="C10" s="14" t="s">
        <v>116</v>
      </c>
      <c r="D10" s="13" t="s">
        <v>65</v>
      </c>
      <c r="E10" s="14" t="s">
        <v>117</v>
      </c>
      <c r="F10" s="13" t="s">
        <v>13</v>
      </c>
      <c r="G10" s="13" t="str">
        <f aca="false">IF(OR(LEFT(F10,6)="Tier 1",LEFT(F10,6)="Tier 2"),"Yes","No")</f>
        <v>Yes</v>
      </c>
      <c r="H10" s="13" t="s">
        <v>118</v>
      </c>
      <c r="I10" s="14" t="s">
        <v>119</v>
      </c>
      <c r="J10" s="13" t="s">
        <v>65</v>
      </c>
      <c r="K10" s="13" t="s">
        <v>101</v>
      </c>
      <c r="L10" s="14" t="s">
        <v>120</v>
      </c>
      <c r="M10" s="13" t="s">
        <v>93</v>
      </c>
      <c r="N10" s="13" t="s">
        <v>72</v>
      </c>
      <c r="O10" s="13" t="s">
        <v>72</v>
      </c>
      <c r="P10" s="14" t="s">
        <v>121</v>
      </c>
      <c r="Q10" s="13" t="s">
        <v>67</v>
      </c>
      <c r="R10" s="13" t="s">
        <v>93</v>
      </c>
      <c r="S10" s="14" t="s">
        <v>122</v>
      </c>
      <c r="T10" s="14" t="s">
        <v>123</v>
      </c>
      <c r="U10" s="13" t="s">
        <v>76</v>
      </c>
    </row>
    <row r="11" customFormat="false" ht="22.35" hidden="false" customHeight="false" outlineLevel="0" collapsed="false">
      <c r="A11" s="13" t="s">
        <v>124</v>
      </c>
      <c r="B11" s="14" t="s">
        <v>125</v>
      </c>
      <c r="C11" s="14" t="s">
        <v>126</v>
      </c>
      <c r="D11" s="13" t="s">
        <v>69</v>
      </c>
      <c r="E11" s="14" t="s">
        <v>127</v>
      </c>
      <c r="F11" s="13" t="s">
        <v>13</v>
      </c>
      <c r="G11" s="13" t="str">
        <f aca="false">IF(OR(LEFT(F11,6)="Tier 1",LEFT(F11,6)="Tier 2"),"Yes","No")</f>
        <v>Yes</v>
      </c>
      <c r="H11" s="13" t="s">
        <v>128</v>
      </c>
      <c r="I11" s="14" t="s">
        <v>90</v>
      </c>
      <c r="J11" s="13" t="s">
        <v>69</v>
      </c>
      <c r="K11" s="13" t="s">
        <v>69</v>
      </c>
      <c r="L11" s="14" t="s">
        <v>129</v>
      </c>
      <c r="M11" s="13" t="s">
        <v>130</v>
      </c>
      <c r="N11" s="13" t="s">
        <v>72</v>
      </c>
      <c r="O11" s="13" t="s">
        <v>65</v>
      </c>
      <c r="P11" s="14" t="s">
        <v>121</v>
      </c>
      <c r="Q11" s="13" t="s">
        <v>93</v>
      </c>
      <c r="R11" s="13" t="s">
        <v>130</v>
      </c>
      <c r="S11" s="14" t="s">
        <v>131</v>
      </c>
      <c r="T11" s="14" t="s">
        <v>132</v>
      </c>
      <c r="U11" s="13" t="s">
        <v>76</v>
      </c>
    </row>
    <row r="12" customFormat="false" ht="22.35" hidden="false" customHeight="false" outlineLevel="0" collapsed="false">
      <c r="A12" s="13" t="s">
        <v>133</v>
      </c>
      <c r="B12" s="14" t="s">
        <v>134</v>
      </c>
      <c r="C12" s="14" t="s">
        <v>135</v>
      </c>
      <c r="D12" s="13" t="s">
        <v>65</v>
      </c>
      <c r="E12" s="14" t="s">
        <v>136</v>
      </c>
      <c r="F12" s="13" t="s">
        <v>10</v>
      </c>
      <c r="G12" s="13" t="str">
        <f aca="false">IF(OR(LEFT(F12,6)="Tier 1",LEFT(F12,6)="Tier 2"),"Yes","No")</f>
        <v>Yes</v>
      </c>
      <c r="H12" s="13" t="s">
        <v>93</v>
      </c>
      <c r="I12" s="14" t="s">
        <v>137</v>
      </c>
      <c r="J12" s="13" t="s">
        <v>69</v>
      </c>
      <c r="K12" s="13" t="s">
        <v>69</v>
      </c>
      <c r="L12" s="14" t="s">
        <v>138</v>
      </c>
      <c r="M12" s="13" t="s">
        <v>67</v>
      </c>
      <c r="N12" s="13" t="s">
        <v>65</v>
      </c>
      <c r="O12" s="13" t="s">
        <v>65</v>
      </c>
      <c r="P12" s="14" t="s">
        <v>139</v>
      </c>
      <c r="Q12" s="13" t="s">
        <v>93</v>
      </c>
      <c r="R12" s="13" t="s">
        <v>130</v>
      </c>
      <c r="S12" s="14" t="s">
        <v>140</v>
      </c>
      <c r="T12" s="14" t="s">
        <v>141</v>
      </c>
      <c r="U12" s="13" t="s">
        <v>76</v>
      </c>
    </row>
    <row r="13" customFormat="false" ht="22.35" hidden="false" customHeight="false" outlineLevel="0" collapsed="false">
      <c r="A13" s="13" t="s">
        <v>142</v>
      </c>
      <c r="B13" s="14" t="s">
        <v>143</v>
      </c>
      <c r="C13" s="14" t="s">
        <v>144</v>
      </c>
      <c r="D13" s="13" t="s">
        <v>65</v>
      </c>
      <c r="E13" s="14" t="s">
        <v>145</v>
      </c>
      <c r="F13" s="13" t="s">
        <v>13</v>
      </c>
      <c r="G13" s="13" t="str">
        <f aca="false">IF(OR(LEFT(F13,6)="Tier 1",LEFT(F13,6)="Tier 2"),"Yes","No")</f>
        <v>Yes</v>
      </c>
      <c r="H13" s="13" t="s">
        <v>130</v>
      </c>
      <c r="I13" s="14" t="s">
        <v>90</v>
      </c>
      <c r="J13" s="13" t="s">
        <v>69</v>
      </c>
      <c r="K13" s="13" t="s">
        <v>69</v>
      </c>
      <c r="L13" s="14" t="s">
        <v>146</v>
      </c>
      <c r="M13" s="13" t="s">
        <v>93</v>
      </c>
      <c r="N13" s="13" t="s">
        <v>72</v>
      </c>
      <c r="O13" s="13" t="s">
        <v>65</v>
      </c>
      <c r="P13" s="14" t="s">
        <v>147</v>
      </c>
      <c r="Q13" s="13" t="s">
        <v>93</v>
      </c>
      <c r="R13" s="13" t="s">
        <v>130</v>
      </c>
      <c r="S13" s="14" t="s">
        <v>148</v>
      </c>
      <c r="T13" s="14" t="s">
        <v>141</v>
      </c>
      <c r="U13" s="13" t="s">
        <v>76</v>
      </c>
    </row>
    <row r="14" customFormat="false" ht="22.35" hidden="false" customHeight="false" outlineLevel="0" collapsed="false">
      <c r="A14" s="13" t="s">
        <v>149</v>
      </c>
      <c r="B14" s="14" t="s">
        <v>150</v>
      </c>
      <c r="C14" s="14" t="s">
        <v>151</v>
      </c>
      <c r="D14" s="13" t="s">
        <v>69</v>
      </c>
      <c r="E14" s="14" t="s">
        <v>152</v>
      </c>
      <c r="F14" s="13" t="s">
        <v>13</v>
      </c>
      <c r="G14" s="13" t="str">
        <f aca="false">IF(OR(LEFT(F14,6)="Tier 1",LEFT(F14,6)="Tier 2"),"Yes","No")</f>
        <v>Yes</v>
      </c>
      <c r="H14" s="13" t="s">
        <v>153</v>
      </c>
      <c r="I14" s="14" t="s">
        <v>90</v>
      </c>
      <c r="J14" s="13" t="s">
        <v>69</v>
      </c>
      <c r="K14" s="13" t="s">
        <v>69</v>
      </c>
      <c r="L14" s="14" t="s">
        <v>154</v>
      </c>
      <c r="M14" s="13" t="s">
        <v>130</v>
      </c>
      <c r="N14" s="13" t="s">
        <v>72</v>
      </c>
      <c r="O14" s="13" t="s">
        <v>72</v>
      </c>
      <c r="P14" s="14" t="s">
        <v>121</v>
      </c>
      <c r="Q14" s="13" t="s">
        <v>93</v>
      </c>
      <c r="R14" s="13" t="s">
        <v>130</v>
      </c>
      <c r="S14" s="14" t="s">
        <v>155</v>
      </c>
      <c r="T14" s="14" t="s">
        <v>156</v>
      </c>
      <c r="U14" s="13" t="s">
        <v>76</v>
      </c>
    </row>
    <row r="15" customFormat="false" ht="22.35" hidden="false" customHeight="false" outlineLevel="0" collapsed="false">
      <c r="A15" s="13" t="s">
        <v>157</v>
      </c>
      <c r="B15" s="14" t="s">
        <v>158</v>
      </c>
      <c r="C15" s="14" t="s">
        <v>159</v>
      </c>
      <c r="D15" s="13" t="s">
        <v>69</v>
      </c>
      <c r="E15" s="14" t="s">
        <v>152</v>
      </c>
      <c r="F15" s="13" t="s">
        <v>16</v>
      </c>
      <c r="G15" s="13" t="str">
        <f aca="false">IF(OR(LEFT(F15,6)="Tier 1",LEFT(F15,6)="Tier 2"),"Yes","No")</f>
        <v>No</v>
      </c>
      <c r="H15" s="13" t="s">
        <v>160</v>
      </c>
      <c r="I15" s="14" t="s">
        <v>161</v>
      </c>
      <c r="J15" s="13" t="s">
        <v>65</v>
      </c>
      <c r="K15" s="13" t="s">
        <v>69</v>
      </c>
      <c r="L15" s="14" t="s">
        <v>102</v>
      </c>
      <c r="M15" s="13" t="s">
        <v>130</v>
      </c>
      <c r="N15" s="13" t="s">
        <v>69</v>
      </c>
      <c r="O15" s="13" t="s">
        <v>69</v>
      </c>
      <c r="P15" s="14" t="s">
        <v>92</v>
      </c>
      <c r="Q15" s="13" t="s">
        <v>93</v>
      </c>
      <c r="R15" s="13" t="s">
        <v>93</v>
      </c>
      <c r="S15" s="14" t="s">
        <v>162</v>
      </c>
      <c r="T15" s="14" t="s">
        <v>163</v>
      </c>
      <c r="U15" s="13" t="s">
        <v>76</v>
      </c>
    </row>
  </sheetData>
  <conditionalFormatting sqref="Q5:Q15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R5:R15">
    <cfRule type="cellIs" priority="5" operator="equal" aboveAverage="0" equalAverage="0" bottom="0" percent="0" rank="0" text="" dxfId="0">
      <formula>"High"</formula>
    </cfRule>
    <cfRule type="cellIs" priority="6" operator="equal" aboveAverage="0" equalAverage="0" bottom="0" percent="0" rank="0" text="" dxfId="1">
      <formula>"Medium"</formula>
    </cfRule>
    <cfRule type="cellIs" priority="7" operator="equal" aboveAverage="0" equalAverage="0" bottom="0" percent="0" rank="0" text="" dxfId="2">
      <formula>"Low"</formula>
    </cfRule>
  </conditionalFormatting>
  <conditionalFormatting sqref="J5:J15">
    <cfRule type="cellIs" priority="8" operator="equal" aboveAverage="0" equalAverage="0" bottom="0" percent="0" rank="0" text="" dxfId="3">
      <formula>"Y"</formula>
    </cfRule>
  </conditionalFormatting>
  <conditionalFormatting sqref="K5:K15">
    <cfRule type="cellIs" priority="9" operator="equal" aboveAverage="0" equalAverage="0" bottom="0" percent="0" rank="0" text="" dxfId="3">
      <formula>"Assess"</formula>
    </cfRule>
    <cfRule type="cellIs" priority="10" operator="equal" aboveAverage="0" equalAverage="0" bottom="0" percent="0" rank="0" text="" dxfId="3">
      <formula>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8.5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6" t="s">
        <v>166</v>
      </c>
      <c r="B4" s="6" t="s">
        <v>167</v>
      </c>
      <c r="C4" s="6" t="s">
        <v>168</v>
      </c>
      <c r="D4" s="6" t="s">
        <v>169</v>
      </c>
    </row>
    <row r="5" customFormat="false" ht="22.35" hidden="false" customHeight="false" outlineLevel="0" collapsed="false">
      <c r="A5" s="15" t="s">
        <v>170</v>
      </c>
      <c r="B5" s="15" t="s">
        <v>171</v>
      </c>
      <c r="C5" s="15" t="s">
        <v>172</v>
      </c>
      <c r="D5" s="15" t="s">
        <v>173</v>
      </c>
    </row>
    <row r="6" customFormat="false" ht="22.35" hidden="false" customHeight="false" outlineLevel="0" collapsed="false">
      <c r="A6" s="15" t="s">
        <v>174</v>
      </c>
      <c r="B6" s="15" t="s">
        <v>175</v>
      </c>
      <c r="C6" s="15" t="s">
        <v>176</v>
      </c>
      <c r="D6" s="15" t="s">
        <v>177</v>
      </c>
    </row>
    <row r="7" customFormat="false" ht="22.35" hidden="false" customHeight="false" outlineLevel="0" collapsed="false">
      <c r="A7" s="15" t="s">
        <v>178</v>
      </c>
      <c r="B7" s="15" t="s">
        <v>179</v>
      </c>
      <c r="C7" s="15" t="s">
        <v>180</v>
      </c>
      <c r="D7" s="15" t="s">
        <v>181</v>
      </c>
    </row>
    <row r="8" customFormat="false" ht="22.35" hidden="false" customHeight="false" outlineLevel="0" collapsed="false">
      <c r="A8" s="15" t="s">
        <v>182</v>
      </c>
      <c r="B8" s="15" t="s">
        <v>183</v>
      </c>
      <c r="C8" s="15" t="s">
        <v>184</v>
      </c>
      <c r="D8" s="15" t="s">
        <v>185</v>
      </c>
    </row>
    <row r="9" customFormat="false" ht="22.35" hidden="false" customHeight="false" outlineLevel="0" collapsed="false">
      <c r="A9" s="15" t="s">
        <v>186</v>
      </c>
      <c r="B9" s="15" t="s">
        <v>187</v>
      </c>
      <c r="C9" s="15" t="s">
        <v>188</v>
      </c>
      <c r="D9" s="15" t="s">
        <v>189</v>
      </c>
    </row>
    <row r="10" customFormat="false" ht="22.35" hidden="false" customHeight="false" outlineLevel="0" collapsed="false">
      <c r="A10" s="15" t="s">
        <v>190</v>
      </c>
      <c r="B10" s="15" t="s">
        <v>191</v>
      </c>
      <c r="C10" s="15" t="s">
        <v>192</v>
      </c>
      <c r="D10" s="15" t="s">
        <v>193</v>
      </c>
    </row>
    <row r="11" customFormat="false" ht="32.8" hidden="false" customHeight="false" outlineLevel="0" collapsed="false">
      <c r="A11" s="15" t="s">
        <v>194</v>
      </c>
      <c r="B11" s="15" t="s">
        <v>195</v>
      </c>
      <c r="C11" s="15" t="s">
        <v>196</v>
      </c>
      <c r="D11" s="15" t="s">
        <v>197</v>
      </c>
    </row>
    <row r="12" customFormat="false" ht="22.35" hidden="false" customHeight="false" outlineLevel="0" collapsed="false">
      <c r="A12" s="15" t="s">
        <v>198</v>
      </c>
      <c r="B12" s="15" t="s">
        <v>199</v>
      </c>
      <c r="C12" s="15" t="s">
        <v>200</v>
      </c>
      <c r="D12" s="15" t="s">
        <v>201</v>
      </c>
    </row>
    <row r="13" customFormat="false" ht="22.35" hidden="false" customHeight="false" outlineLevel="0" collapsed="false">
      <c r="A13" s="15" t="s">
        <v>202</v>
      </c>
      <c r="B13" s="15" t="s">
        <v>203</v>
      </c>
      <c r="C13" s="15" t="s">
        <v>204</v>
      </c>
      <c r="D13" s="15" t="s">
        <v>205</v>
      </c>
    </row>
    <row r="14" customFormat="false" ht="22.35" hidden="false" customHeight="false" outlineLevel="0" collapsed="false">
      <c r="A14" s="15" t="s">
        <v>206</v>
      </c>
      <c r="B14" s="15" t="s">
        <v>207</v>
      </c>
      <c r="C14" s="15" t="s">
        <v>208</v>
      </c>
      <c r="D14" s="15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8.5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4" customFormat="false" ht="32.8" hidden="false" customHeight="false" outlineLevel="0" collapsed="false">
      <c r="A4" s="6" t="s">
        <v>212</v>
      </c>
      <c r="B4" s="6" t="s">
        <v>213</v>
      </c>
      <c r="C4" s="6" t="s">
        <v>214</v>
      </c>
      <c r="D4" s="6" t="s">
        <v>215</v>
      </c>
      <c r="E4" s="6" t="s">
        <v>216</v>
      </c>
      <c r="F4" s="6" t="s">
        <v>217</v>
      </c>
      <c r="G4" s="6" t="s">
        <v>218</v>
      </c>
      <c r="H4" s="6" t="s">
        <v>219</v>
      </c>
    </row>
    <row r="5" customFormat="false" ht="22.35" hidden="false" customHeight="false" outlineLevel="0" collapsed="false">
      <c r="A5" s="14" t="s">
        <v>220</v>
      </c>
      <c r="B5" s="14" t="s">
        <v>221</v>
      </c>
      <c r="C5" s="14" t="s">
        <v>222</v>
      </c>
      <c r="D5" s="13" t="s">
        <v>223</v>
      </c>
      <c r="E5" s="14" t="s">
        <v>93</v>
      </c>
      <c r="F5" s="14" t="s">
        <v>224</v>
      </c>
      <c r="G5" s="13" t="s">
        <v>93</v>
      </c>
      <c r="H5" s="14" t="s">
        <v>225</v>
      </c>
    </row>
    <row r="6" customFormat="false" ht="22.35" hidden="false" customHeight="false" outlineLevel="0" collapsed="false">
      <c r="A6" s="14" t="s">
        <v>226</v>
      </c>
      <c r="B6" s="14" t="s">
        <v>227</v>
      </c>
      <c r="C6" s="14" t="s">
        <v>228</v>
      </c>
      <c r="D6" s="13" t="s">
        <v>229</v>
      </c>
      <c r="E6" s="14" t="s">
        <v>67</v>
      </c>
      <c r="F6" s="14" t="s">
        <v>230</v>
      </c>
      <c r="G6" s="13" t="s">
        <v>93</v>
      </c>
      <c r="H6" s="14" t="s">
        <v>231</v>
      </c>
    </row>
    <row r="7" customFormat="false" ht="22.35" hidden="false" customHeight="false" outlineLevel="0" collapsed="false">
      <c r="A7" s="14" t="s">
        <v>232</v>
      </c>
      <c r="B7" s="14" t="s">
        <v>233</v>
      </c>
      <c r="C7" s="14" t="s">
        <v>234</v>
      </c>
      <c r="D7" s="13" t="s">
        <v>235</v>
      </c>
      <c r="E7" s="14" t="s">
        <v>93</v>
      </c>
      <c r="F7" s="14" t="s">
        <v>236</v>
      </c>
      <c r="G7" s="13" t="s">
        <v>93</v>
      </c>
      <c r="H7" s="14" t="s">
        <v>237</v>
      </c>
    </row>
    <row r="8" customFormat="false" ht="22.35" hidden="false" customHeight="false" outlineLevel="0" collapsed="false">
      <c r="A8" s="14" t="s">
        <v>238</v>
      </c>
      <c r="B8" s="14" t="s">
        <v>239</v>
      </c>
      <c r="C8" s="14" t="s">
        <v>240</v>
      </c>
      <c r="D8" s="13" t="s">
        <v>241</v>
      </c>
      <c r="E8" s="14" t="s">
        <v>67</v>
      </c>
      <c r="F8" s="14" t="s">
        <v>242</v>
      </c>
      <c r="G8" s="13" t="s">
        <v>93</v>
      </c>
      <c r="H8" s="14" t="s">
        <v>243</v>
      </c>
    </row>
    <row r="9" customFormat="false" ht="22.35" hidden="false" customHeight="false" outlineLevel="0" collapsed="false">
      <c r="A9" s="14" t="s">
        <v>244</v>
      </c>
      <c r="B9" s="14" t="s">
        <v>245</v>
      </c>
      <c r="C9" s="14" t="s">
        <v>246</v>
      </c>
      <c r="D9" s="13" t="s">
        <v>247</v>
      </c>
      <c r="E9" s="14" t="s">
        <v>93</v>
      </c>
      <c r="F9" s="14" t="s">
        <v>248</v>
      </c>
      <c r="G9" s="13" t="s">
        <v>93</v>
      </c>
      <c r="H9" s="14" t="s">
        <v>249</v>
      </c>
    </row>
    <row r="10" customFormat="false" ht="22.35" hidden="false" customHeight="false" outlineLevel="0" collapsed="false">
      <c r="A10" s="14" t="s">
        <v>250</v>
      </c>
      <c r="B10" s="14" t="s">
        <v>251</v>
      </c>
      <c r="C10" s="14" t="s">
        <v>252</v>
      </c>
      <c r="D10" s="13" t="s">
        <v>253</v>
      </c>
      <c r="E10" s="14" t="s">
        <v>130</v>
      </c>
      <c r="F10" s="14" t="s">
        <v>254</v>
      </c>
      <c r="G10" s="13" t="s">
        <v>130</v>
      </c>
      <c r="H10" s="14" t="s">
        <v>255</v>
      </c>
    </row>
  </sheetData>
  <conditionalFormatting sqref="E5:E10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G5:G10">
    <cfRule type="cellIs" priority="5" operator="equal" aboveAverage="0" equalAverage="0" bottom="0" percent="0" rank="0" text="" dxfId="0">
      <formula>"High"</formula>
    </cfRule>
    <cfRule type="cellIs" priority="6" operator="equal" aboveAverage="0" equalAverage="0" bottom="0" percent="0" rank="0" text="" dxfId="1">
      <formula>"Medium"</formula>
    </cfRule>
    <cfRule type="cellIs" priority="7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2026-06-23T06:08:38Z</dcterms:created>
  <dc:creator>openpyxl</dc:creator>
  <dc:description/>
  <dc:language>en-US</dc:language>
  <cp:lastModifiedBy/>
  <dcterms:modified xsi:type="dcterms:W3CDTF">2026-06-23T06:08:38Z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