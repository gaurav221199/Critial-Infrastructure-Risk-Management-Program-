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8 Scorecard" sheetId="1" state="visible" r:id="rId3"/>
    <sheet name="Detailed Assessment" sheetId="2" state="visible" r:id="rId4"/>
    <sheet name="Uplift Roadma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<sst xmlns="http://schemas.openxmlformats.org/spreadsheetml/2006/main" count="190" uniqueCount="118">
  <si>
    <t xml:space="preserve">Tasman Mutual Bank — Essential Eight Maturity Assessment</t>
  </si>
  <si>
    <t xml:space="preserve">Document 3  |  Cyber &amp; information security hazard module (CIRMP Rules s8)  |  ASD Essential Eight Maturity Model (Nov 2023)</t>
  </si>
  <si>
    <t xml:space="preserve">#</t>
  </si>
  <si>
    <t xml:space="preserve">Mitigation Strategy</t>
  </si>
  <si>
    <t xml:space="preserve">Current ML</t>
  </si>
  <si>
    <t xml:space="preserve">Meets ML-1 floor?</t>
  </si>
  <si>
    <t xml:space="preserve">Forward Target</t>
  </si>
  <si>
    <t xml:space="preserve">Gap to Target</t>
  </si>
  <si>
    <t xml:space="preserve">Priority</t>
  </si>
  <si>
    <t xml:space="preserve">Linked Risks</t>
  </si>
  <si>
    <t xml:space="preserve">Status</t>
  </si>
  <si>
    <t xml:space="preserve">Application control</t>
  </si>
  <si>
    <t xml:space="preserve">High</t>
  </si>
  <si>
    <t xml:space="preserve">CYB-01</t>
  </si>
  <si>
    <t xml:space="preserve">Open</t>
  </si>
  <si>
    <t xml:space="preserve">Patch applications</t>
  </si>
  <si>
    <t xml:space="preserve">CYB-03</t>
  </si>
  <si>
    <t xml:space="preserve">In Progress</t>
  </si>
  <si>
    <t xml:space="preserve">Configure Microsoft Office macro settings</t>
  </si>
  <si>
    <t xml:space="preserve">Medium</t>
  </si>
  <si>
    <t xml:space="preserve">User application hardening</t>
  </si>
  <si>
    <t xml:space="preserve">CYB-01, CYB-04</t>
  </si>
  <si>
    <t xml:space="preserve">Restrict administrative privileges</t>
  </si>
  <si>
    <t xml:space="preserve">CYB-02</t>
  </si>
  <si>
    <t xml:space="preserve">Patch operating systems</t>
  </si>
  <si>
    <t xml:space="preserve">Multi-factor authentication</t>
  </si>
  <si>
    <t xml:space="preserve">CYB-02, PER-04</t>
  </si>
  <si>
    <t xml:space="preserve">Regular backups</t>
  </si>
  <si>
    <t xml:space="preserve">Low</t>
  </si>
  <si>
    <t xml:space="preserve">Monitoring</t>
  </si>
  <si>
    <t xml:space="preserve">Overall current Essential Eight maturity (lowest common level)</t>
  </si>
  <si>
    <t xml:space="preserve">Strategies meeting CIRMP floor (ML-1)</t>
  </si>
  <si>
    <t xml:space="preserve">Strategies at forward target (ML-2)</t>
  </si>
  <si>
    <t xml:space="preserve">How to read maturity levels</t>
  </si>
  <si>
    <t xml:space="preserve">Level</t>
  </si>
  <si>
    <t xml:space="preserve">Meaning</t>
  </si>
  <si>
    <t xml:space="preserve">ML-0</t>
  </si>
  <si>
    <t xml:space="preserve">Does not meet the intent of ML-1; exploitable weaknesses remain.</t>
  </si>
  <si>
    <t xml:space="preserve">ML-1</t>
  </si>
  <si>
    <t xml:space="preserve">Defends against adversaries using widely available (commodity) tradecraft.</t>
  </si>
  <si>
    <t xml:space="preserve">ML-2</t>
  </si>
  <si>
    <t xml:space="preserve">Defends against adversaries willing to invest more time and modest tooling.</t>
  </si>
  <si>
    <t xml:space="preserve">ML-3</t>
  </si>
  <si>
    <t xml:space="preserve">Defends against adaptive adversaries less reliant on public tools.</t>
  </si>
  <si>
    <t xml:space="preserve">ASD assesses Essential Eight maturity as a package: the overall level is the lowest achieved across all eight strategies. Two strategies at ML-0 therefore hold TMB’s overall maturity below the CIRMP ML-1 floor.</t>
  </si>
  <si>
    <t xml:space="preserve">TMB is fictional; ratings are illustrative of a realistic mid-tier ADI.</t>
  </si>
  <si>
    <t xml:space="preserve">Tasman Mutual Bank — Essential Eight Detailed Assessment</t>
  </si>
  <si>
    <t xml:space="preserve">Document 3  |  Requirement intent vs current state, per mitigation strategy</t>
  </si>
  <si>
    <t xml:space="preserve">ML-1 requirement (intent)</t>
  </si>
  <si>
    <t xml:space="preserve">ML-2 requirement (intent)</t>
  </si>
  <si>
    <t xml:space="preserve">TMB current state</t>
  </si>
  <si>
    <t xml:space="preserve">Key gap to ML-2</t>
  </si>
  <si>
    <t xml:space="preserve">Execution of unapproved executables, libraries, scripts and installers prevented in user-writable locations on workstations.</t>
  </si>
  <si>
    <t xml:space="preserve">As ML-1, plus application control on workstations and internet-facing servers; Microsoft’s recommended block rules applied; ruleset validated annually.</t>
  </si>
  <si>
    <t xml:space="preserve">Allow-listing piloted on a subset of workstations only; not enforced fleet-wide; no server coverage.</t>
  </si>
  <si>
    <t xml:space="preserve">Enforce fleet-wide and on internet-facing servers; apply Microsoft block rules; schedule annual review.</t>
  </si>
  <si>
    <t xml:space="preserve">Internet-facing applications patched or mitigated within two weeks (48 hours where an exploit exists); regular vulnerability scanning.</t>
  </si>
  <si>
    <t xml:space="preserve">As ML-1, plus other applications patched within one month; more frequent scanning.</t>
  </si>
  <si>
    <t xml:space="preserve">Monthly patch cycle; quarterly scanning; internet-facing not yet on a 48-hour exploit SLA.</t>
  </si>
  <si>
    <t xml:space="preserve">Introduce a 48-hour exploit SLA for internet-facing apps; tighten scanning; 1-month SLA for other apps.</t>
  </si>
  <si>
    <t xml:space="preserve">Macros disabled for users without a business requirement; macros originating from the internet blocked.</t>
  </si>
  <si>
    <t xml:space="preserve">As ML-1, plus macros scanned / sandboxed; macro execution events logged and monitored.</t>
  </si>
  <si>
    <t xml:space="preserve">Internet macros blocked; business-need exceptions managed; no central macro logging.</t>
  </si>
  <si>
    <t xml:space="preserve">Add macro AV / sandbox scanning and centralised macro-execution logging.</t>
  </si>
  <si>
    <t xml:space="preserve">Web browsers do not process Java or web advertisements from the internet; Internet Explorer 11 disabled or removed.</t>
  </si>
  <si>
    <t xml:space="preserve">As ML-1, plus browser, Office and PDF hardening per ASD guidance, with blocking and logging.</t>
  </si>
  <si>
    <t xml:space="preserve">IE11 removed; ad / Java handling inconsistent across the fleet; no hardening baseline applied.</t>
  </si>
  <si>
    <t xml:space="preserve">Apply ASD hardening baselines to browsers, Office and PDF readers; block Java/ads; enable logging.</t>
  </si>
  <si>
    <t xml:space="preserve">Privileged access requests validated; privileged accounts cannot access the internet, email or web services.</t>
  </si>
  <si>
    <t xml:space="preserve">As ML-1, plus just-in-time / time-limited privileged access; separate privileged operating environments; privileged activity logged.</t>
  </si>
  <si>
    <t xml:space="preserve">Privileged accounts segregated; PAM partially deployed; not all admin paths are time-limited or fully logged.</t>
  </si>
  <si>
    <t xml:space="preserve">Complete PAM with just-in-time access; separate privileged environments; full logging.</t>
  </si>
  <si>
    <t xml:space="preserve">Internet-facing operating systems patched or mitigated within two weeks (48 hours where an exploit exists); regular scanning.</t>
  </si>
  <si>
    <t xml:space="preserve">As ML-1, plus other operating systems patched within one month; no unsupported operating systems in use.</t>
  </si>
  <si>
    <t xml:space="preserve">Internet-facing OS patched monthly; legacy OS pockets remain in non-production.</t>
  </si>
  <si>
    <t xml:space="preserve">Adopt a 48-hour exploit SLA; retire unsupported OS; apply a 1-month SLA to other OS.</t>
  </si>
  <si>
    <t xml:space="preserve">MFA for users of internet-facing services and for third-party services handling sensitive data.</t>
  </si>
  <si>
    <t xml:space="preserve">As ML-1, plus phishing-resistant MFA for privileged users and all users of internet-facing services; authentication events logged.</t>
  </si>
  <si>
    <t xml:space="preserve">MFA on internet/mobile banking and most admin; some legacy admin paths and OTP-only methods remain.</t>
  </si>
  <si>
    <t xml:space="preserve">Roll out phishing-resistant (FIDO2) MFA to all privileged and internet-facing users; close legacy paths.</t>
  </si>
  <si>
    <t xml:space="preserve">Backups performed and retained per business-continuity requirements; restoration tested.</t>
  </si>
  <si>
    <t xml:space="preserve">As ML-1, plus synchronised backups; unprivileged accounts cannot access or modify backups; restoration tested within DR.</t>
  </si>
  <si>
    <t xml:space="preserve">Immutable offline backups in place; restoration tested; backup access restricted.</t>
  </si>
  <si>
    <t xml:space="preserve">Maintain; extend restoration testing into full DR exercises; evaluate ML-3 controls.</t>
  </si>
  <si>
    <t xml:space="preserve">Tasman Mutual Bank — Essential Eight Uplift Roadmap</t>
  </si>
  <si>
    <t xml:space="preserve">Document 3  |  Gap-closing actions to reach ML-2, mapped to 30/90/180 days</t>
  </si>
  <si>
    <t xml:space="preserve">ID</t>
  </si>
  <si>
    <t xml:space="preserve">Strategy</t>
  </si>
  <si>
    <t xml:space="preserve">Uplift action</t>
  </si>
  <si>
    <t xml:space="preserve">From → To</t>
  </si>
  <si>
    <t xml:space="preserve">Target</t>
  </si>
  <si>
    <t xml:space="preserve">Owner</t>
  </si>
  <si>
    <t xml:space="preserve">Linked Risk(s)</t>
  </si>
  <si>
    <t xml:space="preserve">E8-01</t>
  </si>
  <si>
    <t xml:space="preserve">Enforce application control fleet-wide and on internet-facing servers; apply Microsoft’s recommended block rules; schedule annual ruleset review.</t>
  </si>
  <si>
    <t xml:space="preserve">ML-0 → ML-2</t>
  </si>
  <si>
    <t xml:space="preserve">180 days</t>
  </si>
  <si>
    <t xml:space="preserve">Head of Security Operations</t>
  </si>
  <si>
    <t xml:space="preserve">E8-02</t>
  </si>
  <si>
    <t xml:space="preserve">Introduce a 48-hour exploit-driven patch SLA for internet-facing apps; 1-month SLA for other apps; daily scanning of internet-facing assets.</t>
  </si>
  <si>
    <t xml:space="preserve">ML-1 → ML-2</t>
  </si>
  <si>
    <t xml:space="preserve">90 days</t>
  </si>
  <si>
    <t xml:space="preserve">E8-03</t>
  </si>
  <si>
    <t xml:space="preserve">Office macros</t>
  </si>
  <si>
    <t xml:space="preserve">E8-04</t>
  </si>
  <si>
    <t xml:space="preserve">Head of Infrastructure</t>
  </si>
  <si>
    <t xml:space="preserve">E8-05</t>
  </si>
  <si>
    <t xml:space="preserve">Complete PAM with just-in-time access; separate privileged operating environments; full privileged-activity logging.</t>
  </si>
  <si>
    <t xml:space="preserve">CISO</t>
  </si>
  <si>
    <t xml:space="preserve">E8-06</t>
  </si>
  <si>
    <t xml:space="preserve">Adopt a 48-hour exploit SLA for internet-facing OS; retire unsupported OS; 1-month SLA for other OS.</t>
  </si>
  <si>
    <t xml:space="preserve">E8-07</t>
  </si>
  <si>
    <t xml:space="preserve">Deploy phishing-resistant (FIDO2) MFA to all privileged and internet-facing users; decommission legacy OTP-only paths; log authentication events.</t>
  </si>
  <si>
    <t xml:space="preserve">30 days</t>
  </si>
  <si>
    <t xml:space="preserve">E8-08</t>
  </si>
  <si>
    <t xml:space="preserve">Maintain immutable backups; fold restoration testing into full DR exercises; evaluate ML-3 controls.</t>
  </si>
  <si>
    <t xml:space="preserve">ML-2 (maintain)</t>
  </si>
  <si>
    <t xml:space="preserve">Ongoing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</si>
</sst>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b val="true"/>
      <sz val="11"/>
      <color rgb="FF2E4057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C00000"/>
        <bgColor rgb="FF800000"/>
      </patternFill>
    </fill>
    <fill>
      <patternFill patternType="solid">
        <fgColor rgb="FFFFD966"/>
        <bgColor rgb="FFFFFF99"/>
      </patternFill>
    </fill>
    <fill>
      <patternFill patternType="solid">
        <fgColor rgb="FF92D050"/>
        <bgColor rgb="FFBFBFBF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FFD966"/>
        </patternFill>
      </fill>
    </dxf>
    <dxf>
      <font>
        <name val="Arial"/>
        <charset val="1"/>
        <family val="0"/>
        <b val="1"/>
        <color rgb="FF000000"/>
        <sz val="10"/>
      </font>
      <fill>
        <patternFill>
          <bgColor rgb="FF92D050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548235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2D05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1</v>
      </c>
      <c r="B5" s="5" t="s">
        <v>11</v>
      </c>
      <c r="C5" s="4" t="n">
        <v>0</v>
      </c>
      <c r="D5" s="4" t="str">
        <f aca="false">IF(C5&gt;=1,"Yes","No")</f>
        <v>No</v>
      </c>
      <c r="E5" s="4" t="n">
        <v>2</v>
      </c>
      <c r="F5" s="4" t="n">
        <f aca="false">E5-C5</f>
        <v>2</v>
      </c>
      <c r="G5" s="4" t="s">
        <v>12</v>
      </c>
      <c r="H5" s="5" t="s">
        <v>13</v>
      </c>
      <c r="I5" s="4" t="s">
        <v>14</v>
      </c>
    </row>
    <row r="6" customFormat="false" ht="15" hidden="false" customHeight="false" outlineLevel="0" collapsed="false">
      <c r="A6" s="4" t="n">
        <v>2</v>
      </c>
      <c r="B6" s="5" t="s">
        <v>15</v>
      </c>
      <c r="C6" s="4" t="n">
        <v>1</v>
      </c>
      <c r="D6" s="4" t="str">
        <f aca="false">IF(C6&gt;=1,"Yes","No")</f>
        <v>Yes</v>
      </c>
      <c r="E6" s="4" t="n">
        <v>2</v>
      </c>
      <c r="F6" s="4" t="n">
        <f aca="false">E6-C6</f>
        <v>1</v>
      </c>
      <c r="G6" s="4" t="s">
        <v>12</v>
      </c>
      <c r="H6" s="5" t="s">
        <v>16</v>
      </c>
      <c r="I6" s="4" t="s">
        <v>17</v>
      </c>
    </row>
    <row r="7" customFormat="false" ht="15" hidden="false" customHeight="false" outlineLevel="0" collapsed="false">
      <c r="A7" s="4" t="n">
        <v>3</v>
      </c>
      <c r="B7" s="5" t="s">
        <v>18</v>
      </c>
      <c r="C7" s="4" t="n">
        <v>1</v>
      </c>
      <c r="D7" s="4" t="str">
        <f aca="false">IF(C7&gt;=1,"Yes","No")</f>
        <v>Yes</v>
      </c>
      <c r="E7" s="4" t="n">
        <v>2</v>
      </c>
      <c r="F7" s="4" t="n">
        <f aca="false">E7-C7</f>
        <v>1</v>
      </c>
      <c r="G7" s="4" t="s">
        <v>19</v>
      </c>
      <c r="H7" s="5" t="s">
        <v>13</v>
      </c>
      <c r="I7" s="4" t="s">
        <v>17</v>
      </c>
    </row>
    <row r="8" customFormat="false" ht="15" hidden="false" customHeight="false" outlineLevel="0" collapsed="false">
      <c r="A8" s="4" t="n">
        <v>4</v>
      </c>
      <c r="B8" s="5" t="s">
        <v>20</v>
      </c>
      <c r="C8" s="4" t="n">
        <v>0</v>
      </c>
      <c r="D8" s="4" t="str">
        <f aca="false">IF(C8&gt;=1,"Yes","No")</f>
        <v>No</v>
      </c>
      <c r="E8" s="4" t="n">
        <v>2</v>
      </c>
      <c r="F8" s="4" t="n">
        <f aca="false">E8-C8</f>
        <v>2</v>
      </c>
      <c r="G8" s="4" t="s">
        <v>19</v>
      </c>
      <c r="H8" s="5" t="s">
        <v>21</v>
      </c>
      <c r="I8" s="4" t="s">
        <v>14</v>
      </c>
    </row>
    <row r="9" customFormat="false" ht="15" hidden="false" customHeight="false" outlineLevel="0" collapsed="false">
      <c r="A9" s="4" t="n">
        <v>5</v>
      </c>
      <c r="B9" s="5" t="s">
        <v>22</v>
      </c>
      <c r="C9" s="4" t="n">
        <v>1</v>
      </c>
      <c r="D9" s="4" t="str">
        <f aca="false">IF(C9&gt;=1,"Yes","No")</f>
        <v>Yes</v>
      </c>
      <c r="E9" s="4" t="n">
        <v>2</v>
      </c>
      <c r="F9" s="4" t="n">
        <f aca="false">E9-C9</f>
        <v>1</v>
      </c>
      <c r="G9" s="4" t="s">
        <v>12</v>
      </c>
      <c r="H9" s="5" t="s">
        <v>23</v>
      </c>
      <c r="I9" s="4" t="s">
        <v>17</v>
      </c>
    </row>
    <row r="10" customFormat="false" ht="15" hidden="false" customHeight="false" outlineLevel="0" collapsed="false">
      <c r="A10" s="4" t="n">
        <v>6</v>
      </c>
      <c r="B10" s="5" t="s">
        <v>24</v>
      </c>
      <c r="C10" s="4" t="n">
        <v>1</v>
      </c>
      <c r="D10" s="4" t="str">
        <f aca="false">IF(C10&gt;=1,"Yes","No")</f>
        <v>Yes</v>
      </c>
      <c r="E10" s="4" t="n">
        <v>2</v>
      </c>
      <c r="F10" s="4" t="n">
        <f aca="false">E10-C10</f>
        <v>1</v>
      </c>
      <c r="G10" s="4" t="s">
        <v>12</v>
      </c>
      <c r="H10" s="5" t="s">
        <v>16</v>
      </c>
      <c r="I10" s="4" t="s">
        <v>17</v>
      </c>
    </row>
    <row r="11" customFormat="false" ht="15" hidden="false" customHeight="false" outlineLevel="0" collapsed="false">
      <c r="A11" s="4" t="n">
        <v>7</v>
      </c>
      <c r="B11" s="5" t="s">
        <v>25</v>
      </c>
      <c r="C11" s="4" t="n">
        <v>1</v>
      </c>
      <c r="D11" s="4" t="str">
        <f aca="false">IF(C11&gt;=1,"Yes","No")</f>
        <v>Yes</v>
      </c>
      <c r="E11" s="4" t="n">
        <v>2</v>
      </c>
      <c r="F11" s="4" t="n">
        <f aca="false">E11-C11</f>
        <v>1</v>
      </c>
      <c r="G11" s="4" t="s">
        <v>12</v>
      </c>
      <c r="H11" s="5" t="s">
        <v>26</v>
      </c>
      <c r="I11" s="4" t="s">
        <v>17</v>
      </c>
    </row>
    <row r="12" customFormat="false" ht="15" hidden="false" customHeight="false" outlineLevel="0" collapsed="false">
      <c r="A12" s="4" t="n">
        <v>8</v>
      </c>
      <c r="B12" s="5" t="s">
        <v>27</v>
      </c>
      <c r="C12" s="4" t="n">
        <v>2</v>
      </c>
      <c r="D12" s="4" t="str">
        <f aca="false">IF(C12&gt;=1,"Yes","No")</f>
        <v>Yes</v>
      </c>
      <c r="E12" s="4" t="n">
        <v>2</v>
      </c>
      <c r="F12" s="4" t="n">
        <f aca="false">E12-C12</f>
        <v>0</v>
      </c>
      <c r="G12" s="4" t="s">
        <v>28</v>
      </c>
      <c r="H12" s="5" t="s">
        <v>13</v>
      </c>
      <c r="I12" s="4" t="s">
        <v>29</v>
      </c>
    </row>
    <row r="14" customFormat="false" ht="17.35" hidden="false" customHeight="false" outlineLevel="0" collapsed="false">
      <c r="A14" s="6" t="s">
        <v>30</v>
      </c>
      <c r="B14" s="6"/>
      <c r="C14" s="7" t="n">
        <f aca="false">MIN(C5:C12)</f>
        <v>0</v>
      </c>
    </row>
    <row r="15" customFormat="false" ht="15" hidden="false" customHeight="false" outlineLevel="0" collapsed="false">
      <c r="A15" s="8" t="s">
        <v>31</v>
      </c>
      <c r="B15" s="8"/>
      <c r="C15" s="9" t="n">
        <f aca="false">COUNTIF(C5:C12,"&gt;=1")</f>
        <v>6</v>
      </c>
    </row>
    <row r="16" customFormat="false" ht="15" hidden="false" customHeight="false" outlineLevel="0" collapsed="false">
      <c r="A16" s="8" t="s">
        <v>32</v>
      </c>
      <c r="B16" s="8"/>
      <c r="C16" s="9" t="n">
        <f aca="false">COUNTIF(C5:C12,"&gt;=2")</f>
        <v>1</v>
      </c>
    </row>
    <row r="18" customFormat="false" ht="15" hidden="false" customHeight="false" outlineLevel="0" collapsed="false">
      <c r="A18" s="10" t="s">
        <v>33</v>
      </c>
    </row>
    <row r="19" customFormat="false" ht="23.85" hidden="false" customHeight="false" outlineLevel="0" collapsed="false">
      <c r="A19" s="3" t="s">
        <v>34</v>
      </c>
      <c r="B19" s="3" t="s">
        <v>35</v>
      </c>
    </row>
    <row r="20" customFormat="false" ht="23.85" hidden="false" customHeight="false" outlineLevel="0" collapsed="false">
      <c r="A20" s="11" t="s">
        <v>36</v>
      </c>
      <c r="B20" s="12" t="s">
        <v>37</v>
      </c>
    </row>
    <row r="21" customFormat="false" ht="23.85" hidden="false" customHeight="false" outlineLevel="0" collapsed="false">
      <c r="A21" s="13" t="s">
        <v>38</v>
      </c>
      <c r="B21" s="12" t="s">
        <v>39</v>
      </c>
    </row>
    <row r="22" customFormat="false" ht="23.85" hidden="false" customHeight="false" outlineLevel="0" collapsed="false">
      <c r="A22" s="14" t="s">
        <v>40</v>
      </c>
      <c r="B22" s="12" t="s">
        <v>41</v>
      </c>
    </row>
    <row r="23" customFormat="false" ht="23.85" hidden="false" customHeight="false" outlineLevel="0" collapsed="false">
      <c r="A23" s="15" t="s">
        <v>42</v>
      </c>
      <c r="B23" s="12" t="s">
        <v>43</v>
      </c>
    </row>
    <row r="25" customFormat="false" ht="15" hidden="false" customHeight="false" outlineLevel="0" collapsed="false">
      <c r="A25" s="16" t="s">
        <v>44</v>
      </c>
      <c r="B25" s="16"/>
      <c r="C25" s="16"/>
      <c r="D25" s="16"/>
      <c r="E25" s="16"/>
      <c r="F25" s="16"/>
      <c r="G25" s="16"/>
      <c r="H25" s="16"/>
      <c r="I25" s="16"/>
    </row>
    <row r="26" customFormat="false" ht="15" hidden="false" customHeight="false" outlineLevel="0" collapsed="false">
      <c r="A26" s="16" t="s">
        <v>45</v>
      </c>
      <c r="B26" s="16"/>
      <c r="C26" s="16"/>
      <c r="D26" s="16"/>
      <c r="E26" s="16"/>
      <c r="F26" s="16"/>
      <c r="G26" s="16"/>
      <c r="H26" s="16"/>
      <c r="I26" s="16"/>
    </row>
  </sheetData>
  <mergeCells count="5">
    <mergeCell ref="A14:B14"/>
    <mergeCell ref="A15:B15"/>
    <mergeCell ref="A16:B16"/>
    <mergeCell ref="A25:I25"/>
    <mergeCell ref="A26:I26"/>
  </mergeCells>
  <conditionalFormatting sqref="C5:C12">
    <cfRule type="cellIs" priority="2" operator="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1</formula>
    </cfRule>
    <cfRule type="cellIs" priority="4" operator="equal" aboveAverage="0" equalAverage="0" bottom="0" percent="0" rank="0" text="" dxfId="2">
      <formula>2</formula>
    </cfRule>
    <cfRule type="cellIs" priority="5" operator="equal" aboveAverage="0" equalAverage="0" bottom="0" percent="0" rank="0" text="" dxfId="3">
      <formula>3</formula>
    </cfRule>
  </conditionalFormatting>
  <conditionalFormatting sqref="C14">
    <cfRule type="cellIs" priority="6" operator="equal" aboveAverage="0" equalAverage="0" bottom="0" percent="0" rank="0" text="" dxfId="0">
      <formula>0</formula>
    </cfRule>
    <cfRule type="cellIs" priority="7" operator="equal" aboveAverage="0" equalAverage="0" bottom="0" percent="0" rank="0" text="" dxfId="1">
      <formula>1</formula>
    </cfRule>
    <cfRule type="cellIs" priority="8" operator="equal" aboveAverage="0" equalAverage="0" bottom="0" percent="0" rank="0" text="" dxfId="2">
      <formula>2</formula>
    </cfRule>
    <cfRule type="cellIs" priority="9" operator="equal" aboveAverage="0" equalAverage="0" bottom="0" percent="0" rank="0" text="" dxfId="3">
      <formula>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42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38"/>
  </cols>
  <sheetData>
    <row r="1" customFormat="false" ht="19.7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23.85" hidden="false" customHeight="false" outlineLevel="0" collapsed="false">
      <c r="A4" s="3" t="s">
        <v>3</v>
      </c>
      <c r="B4" s="3" t="s">
        <v>48</v>
      </c>
      <c r="C4" s="3" t="s">
        <v>49</v>
      </c>
      <c r="D4" s="3" t="s">
        <v>50</v>
      </c>
      <c r="E4" s="3" t="s">
        <v>4</v>
      </c>
      <c r="F4" s="3" t="s">
        <v>51</v>
      </c>
    </row>
    <row r="5" customFormat="false" ht="32.8" hidden="false" customHeight="false" outlineLevel="0" collapsed="false">
      <c r="A5" s="17" t="s">
        <v>11</v>
      </c>
      <c r="B5" s="17" t="s">
        <v>52</v>
      </c>
      <c r="C5" s="17" t="s">
        <v>53</v>
      </c>
      <c r="D5" s="17" t="s">
        <v>54</v>
      </c>
      <c r="E5" s="18" t="n">
        <v>0</v>
      </c>
      <c r="F5" s="17" t="s">
        <v>55</v>
      </c>
    </row>
    <row r="6" customFormat="false" ht="32.8" hidden="false" customHeight="false" outlineLevel="0" collapsed="false">
      <c r="A6" s="17" t="s">
        <v>15</v>
      </c>
      <c r="B6" s="17" t="s">
        <v>56</v>
      </c>
      <c r="C6" s="17" t="s">
        <v>57</v>
      </c>
      <c r="D6" s="17" t="s">
        <v>58</v>
      </c>
      <c r="E6" s="18" t="n">
        <v>1</v>
      </c>
      <c r="F6" s="17" t="s">
        <v>59</v>
      </c>
    </row>
    <row r="7" customFormat="false" ht="32.8" hidden="false" customHeight="false" outlineLevel="0" collapsed="false">
      <c r="A7" s="17" t="s">
        <v>18</v>
      </c>
      <c r="B7" s="17" t="s">
        <v>60</v>
      </c>
      <c r="C7" s="17" t="s">
        <v>61</v>
      </c>
      <c r="D7" s="17" t="s">
        <v>62</v>
      </c>
      <c r="E7" s="18" t="n">
        <v>1</v>
      </c>
      <c r="F7" s="17" t="s">
        <v>63</v>
      </c>
    </row>
    <row r="8" customFormat="false" ht="32.8" hidden="false" customHeight="false" outlineLevel="0" collapsed="false">
      <c r="A8" s="17" t="s">
        <v>20</v>
      </c>
      <c r="B8" s="17" t="s">
        <v>64</v>
      </c>
      <c r="C8" s="17" t="s">
        <v>65</v>
      </c>
      <c r="D8" s="17" t="s">
        <v>66</v>
      </c>
      <c r="E8" s="18" t="n">
        <v>0</v>
      </c>
      <c r="F8" s="17" t="s">
        <v>67</v>
      </c>
    </row>
    <row r="9" customFormat="false" ht="32.8" hidden="false" customHeight="false" outlineLevel="0" collapsed="false">
      <c r="A9" s="17" t="s">
        <v>22</v>
      </c>
      <c r="B9" s="17" t="s">
        <v>68</v>
      </c>
      <c r="C9" s="17" t="s">
        <v>69</v>
      </c>
      <c r="D9" s="17" t="s">
        <v>70</v>
      </c>
      <c r="E9" s="18" t="n">
        <v>1</v>
      </c>
      <c r="F9" s="17" t="s">
        <v>71</v>
      </c>
    </row>
    <row r="10" customFormat="false" ht="32.8" hidden="false" customHeight="false" outlineLevel="0" collapsed="false">
      <c r="A10" s="17" t="s">
        <v>24</v>
      </c>
      <c r="B10" s="17" t="s">
        <v>72</v>
      </c>
      <c r="C10" s="17" t="s">
        <v>73</v>
      </c>
      <c r="D10" s="17" t="s">
        <v>74</v>
      </c>
      <c r="E10" s="18" t="n">
        <v>1</v>
      </c>
      <c r="F10" s="17" t="s">
        <v>75</v>
      </c>
    </row>
    <row r="11" customFormat="false" ht="32.8" hidden="false" customHeight="false" outlineLevel="0" collapsed="false">
      <c r="A11" s="17" t="s">
        <v>25</v>
      </c>
      <c r="B11" s="17" t="s">
        <v>76</v>
      </c>
      <c r="C11" s="17" t="s">
        <v>77</v>
      </c>
      <c r="D11" s="17" t="s">
        <v>78</v>
      </c>
      <c r="E11" s="18" t="n">
        <v>1</v>
      </c>
      <c r="F11" s="17" t="s">
        <v>79</v>
      </c>
    </row>
    <row r="12" customFormat="false" ht="32.8" hidden="false" customHeight="false" outlineLevel="0" collapsed="false">
      <c r="A12" s="17" t="s">
        <v>27</v>
      </c>
      <c r="B12" s="17" t="s">
        <v>80</v>
      </c>
      <c r="C12" s="17" t="s">
        <v>81</v>
      </c>
      <c r="D12" s="17" t="s">
        <v>82</v>
      </c>
      <c r="E12" s="18" t="n">
        <v>2</v>
      </c>
      <c r="F12" s="17" t="s">
        <v>83</v>
      </c>
    </row>
  </sheetData>
  <conditionalFormatting sqref="E5:E12">
    <cfRule type="cellIs" priority="2" operator="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1</formula>
    </cfRule>
    <cfRule type="cellIs" priority="4" operator="equal" aboveAverage="0" equalAverage="0" bottom="0" percent="0" rank="0" text="" dxfId="2">
      <formula>2</formula>
    </cfRule>
    <cfRule type="cellIs" priority="5" operator="equal" aboveAverage="0" equalAverage="0" bottom="0" percent="0" rank="0" text="" dxfId="3">
      <formula>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46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24"/>
    <col collapsed="false" customWidth="true" hidden="false" outlineLevel="0" max="8" min="8" style="0" width="16"/>
    <col collapsed="false" customWidth="true" hidden="false" outlineLevel="0" max="9" min="9" style="0" width="13"/>
  </cols>
  <sheetData>
    <row r="1" customFormat="false" ht="19.7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4" customFormat="false" ht="15" hidden="false" customHeight="false" outlineLevel="0" collapsed="false">
      <c r="A4" s="3" t="s">
        <v>86</v>
      </c>
      <c r="B4" s="3" t="s">
        <v>87</v>
      </c>
      <c r="C4" s="3" t="s">
        <v>88</v>
      </c>
      <c r="D4" s="3" t="s">
        <v>89</v>
      </c>
      <c r="E4" s="3" t="s">
        <v>8</v>
      </c>
      <c r="F4" s="3" t="s">
        <v>90</v>
      </c>
      <c r="G4" s="3" t="s">
        <v>91</v>
      </c>
      <c r="H4" s="3" t="s">
        <v>92</v>
      </c>
      <c r="I4" s="3" t="s">
        <v>10</v>
      </c>
    </row>
    <row r="5" customFormat="false" ht="32.8" hidden="false" customHeight="false" outlineLevel="0" collapsed="false">
      <c r="A5" s="18" t="s">
        <v>93</v>
      </c>
      <c r="B5" s="17" t="s">
        <v>11</v>
      </c>
      <c r="C5" s="17" t="s">
        <v>94</v>
      </c>
      <c r="D5" s="18" t="s">
        <v>95</v>
      </c>
      <c r="E5" s="18" t="s">
        <v>12</v>
      </c>
      <c r="F5" s="18" t="s">
        <v>96</v>
      </c>
      <c r="G5" s="17" t="s">
        <v>97</v>
      </c>
      <c r="H5" s="17" t="s">
        <v>13</v>
      </c>
      <c r="I5" s="18" t="s">
        <v>14</v>
      </c>
    </row>
    <row r="6" customFormat="false" ht="32.8" hidden="false" customHeight="false" outlineLevel="0" collapsed="false">
      <c r="A6" s="18" t="s">
        <v>98</v>
      </c>
      <c r="B6" s="17" t="s">
        <v>15</v>
      </c>
      <c r="C6" s="17" t="s">
        <v>99</v>
      </c>
      <c r="D6" s="18" t="s">
        <v>100</v>
      </c>
      <c r="E6" s="18" t="s">
        <v>12</v>
      </c>
      <c r="F6" s="18" t="s">
        <v>101</v>
      </c>
      <c r="G6" s="17" t="s">
        <v>97</v>
      </c>
      <c r="H6" s="17" t="s">
        <v>16</v>
      </c>
      <c r="I6" s="18" t="s">
        <v>17</v>
      </c>
    </row>
    <row r="7" customFormat="false" ht="22.35" hidden="false" customHeight="false" outlineLevel="0" collapsed="false">
      <c r="A7" s="18" t="s">
        <v>102</v>
      </c>
      <c r="B7" s="17" t="s">
        <v>103</v>
      </c>
      <c r="C7" s="17" t="s">
        <v>63</v>
      </c>
      <c r="D7" s="18" t="s">
        <v>100</v>
      </c>
      <c r="E7" s="18" t="s">
        <v>19</v>
      </c>
      <c r="F7" s="18" t="s">
        <v>101</v>
      </c>
      <c r="G7" s="17" t="s">
        <v>97</v>
      </c>
      <c r="H7" s="17" t="s">
        <v>13</v>
      </c>
      <c r="I7" s="18" t="s">
        <v>14</v>
      </c>
    </row>
    <row r="8" customFormat="false" ht="22.35" hidden="false" customHeight="false" outlineLevel="0" collapsed="false">
      <c r="A8" s="18" t="s">
        <v>104</v>
      </c>
      <c r="B8" s="17" t="s">
        <v>20</v>
      </c>
      <c r="C8" s="17" t="s">
        <v>67</v>
      </c>
      <c r="D8" s="18" t="s">
        <v>95</v>
      </c>
      <c r="E8" s="18" t="s">
        <v>19</v>
      </c>
      <c r="F8" s="18" t="s">
        <v>96</v>
      </c>
      <c r="G8" s="17" t="s">
        <v>105</v>
      </c>
      <c r="H8" s="17" t="s">
        <v>21</v>
      </c>
      <c r="I8" s="18" t="s">
        <v>14</v>
      </c>
    </row>
    <row r="9" customFormat="false" ht="22.35" hidden="false" customHeight="false" outlineLevel="0" collapsed="false">
      <c r="A9" s="18" t="s">
        <v>106</v>
      </c>
      <c r="B9" s="17" t="s">
        <v>22</v>
      </c>
      <c r="C9" s="17" t="s">
        <v>107</v>
      </c>
      <c r="D9" s="18" t="s">
        <v>100</v>
      </c>
      <c r="E9" s="18" t="s">
        <v>12</v>
      </c>
      <c r="F9" s="18" t="s">
        <v>101</v>
      </c>
      <c r="G9" s="17" t="s">
        <v>108</v>
      </c>
      <c r="H9" s="17" t="s">
        <v>23</v>
      </c>
      <c r="I9" s="18" t="s">
        <v>17</v>
      </c>
    </row>
    <row r="10" customFormat="false" ht="22.35" hidden="false" customHeight="false" outlineLevel="0" collapsed="false">
      <c r="A10" s="18" t="s">
        <v>109</v>
      </c>
      <c r="B10" s="17" t="s">
        <v>24</v>
      </c>
      <c r="C10" s="17" t="s">
        <v>110</v>
      </c>
      <c r="D10" s="18" t="s">
        <v>100</v>
      </c>
      <c r="E10" s="18" t="s">
        <v>12</v>
      </c>
      <c r="F10" s="18" t="s">
        <v>101</v>
      </c>
      <c r="G10" s="17" t="s">
        <v>105</v>
      </c>
      <c r="H10" s="17" t="s">
        <v>16</v>
      </c>
      <c r="I10" s="18" t="s">
        <v>17</v>
      </c>
    </row>
    <row r="11" customFormat="false" ht="32.8" hidden="false" customHeight="false" outlineLevel="0" collapsed="false">
      <c r="A11" s="18" t="s">
        <v>111</v>
      </c>
      <c r="B11" s="17" t="s">
        <v>25</v>
      </c>
      <c r="C11" s="17" t="s">
        <v>112</v>
      </c>
      <c r="D11" s="18" t="s">
        <v>100</v>
      </c>
      <c r="E11" s="18" t="s">
        <v>12</v>
      </c>
      <c r="F11" s="18" t="s">
        <v>113</v>
      </c>
      <c r="G11" s="17" t="s">
        <v>108</v>
      </c>
      <c r="H11" s="17" t="s">
        <v>26</v>
      </c>
      <c r="I11" s="18" t="s">
        <v>17</v>
      </c>
    </row>
    <row r="12" customFormat="false" ht="22.35" hidden="false" customHeight="false" outlineLevel="0" collapsed="false">
      <c r="A12" s="18" t="s">
        <v>114</v>
      </c>
      <c r="B12" s="17" t="s">
        <v>27</v>
      </c>
      <c r="C12" s="17" t="s">
        <v>115</v>
      </c>
      <c r="D12" s="18" t="s">
        <v>116</v>
      </c>
      <c r="E12" s="18" t="s">
        <v>28</v>
      </c>
      <c r="F12" s="18" t="s">
        <v>117</v>
      </c>
      <c r="G12" s="17" t="s">
        <v>105</v>
      </c>
      <c r="H12" s="17" t="s">
        <v>13</v>
      </c>
      <c r="I12" s="18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2026-06-23T06:00:24Z</dcterms:created>
  <dc:creator>openpyxl</dc:creator>
  <dc:description/>
  <dc:language>en-US</dc:language>
  <cp:lastModifiedBy/>
  <dcterms:modified xsi:type="dcterms:W3CDTF">2026-06-23T06:00:24Z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